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mendrag" sheetId="1" state="visible" r:id="rId3"/>
    <sheet name="Prosjektfaser" sheetId="2" state="visible" r:id="rId4"/>
    <sheet name="Materialliste" sheetId="3" state="visible" r:id="rId5"/>
    <sheet name="Beregninger" sheetId="4" state="visible" r:id="rId6"/>
    <sheet name="Budsjettvarian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<sst xmlns="http://schemas.openxmlformats.org/spreadsheetml/2006/main" count="603" uniqueCount="437">
  <si>
    <t xml:space="preserve">BADSTUE MED SMØREBOD + OVERBYGG — MATERIALBEREGNING</t>
  </si>
  <si>
    <t xml:space="preserve">Byggherre: Trond Dahl</t>
  </si>
  <si>
    <t xml:space="preserve">Dato: 2026-04-17</t>
  </si>
  <si>
    <t xml:space="preserve">Referanse: Tegninger rev. H</t>
  </si>
  <si>
    <t xml:space="preserve">Nøkkeltall bygg</t>
  </si>
  <si>
    <t xml:space="preserve">Utvendig bredde × dybde</t>
  </si>
  <si>
    <t xml:space="preserve">4660 × 2460 mm</t>
  </si>
  <si>
    <t xml:space="preserve">Smørebod innvendig</t>
  </si>
  <si>
    <t xml:space="preserve">2500 × 2200 mm (5,5 m²)</t>
  </si>
  <si>
    <t xml:space="preserve">Badstue innvendig</t>
  </si>
  <si>
    <t xml:space="preserve">1800 × 2200 mm (3,96 m²)</t>
  </si>
  <si>
    <t xml:space="preserve">Innv. takhøyde front/bak</t>
  </si>
  <si>
    <t xml:space="preserve">2400 / 2010 mm</t>
  </si>
  <si>
    <t xml:space="preserve">Takvinkel</t>
  </si>
  <si>
    <t xml:space="preserve">10°, høyest foran</t>
  </si>
  <si>
    <t xml:space="preserve">Overbygg mot hytta</t>
  </si>
  <si>
    <t xml:space="preserve">3000 × 2460 mm (åpent, uten post)</t>
  </si>
  <si>
    <t xml:space="preserve">Fundament</t>
  </si>
  <si>
    <t xml:space="preserve">6 støpte sokler under badstuebygget</t>
  </si>
  <si>
    <t xml:space="preserve">Snølast dimensjonert</t>
  </si>
  <si>
    <t xml:space="preserve">450 kg/m² (fjell)</t>
  </si>
  <si>
    <t xml:space="preserve">Kostnadssammendrag pr. kategori</t>
  </si>
  <si>
    <t xml:space="preserve">Kategori</t>
  </si>
  <si>
    <t xml:space="preserve">Antall varelinjer</t>
  </si>
  <si>
    <t xml:space="preserve">Sum kr (eks. mva)</t>
  </si>
  <si>
    <t xml:space="preserve">Merknad</t>
  </si>
  <si>
    <t xml:space="preserve">1. Fundament</t>
  </si>
  <si>
    <t xml:space="preserve">Har allerede — gjenbrukes (kostnad 0)</t>
  </si>
  <si>
    <t xml:space="preserve">2. Bjelkelag og gulv</t>
  </si>
  <si>
    <t xml:space="preserve">Sviller, gulvbjelker, radonduk, undergulv, gulvbord</t>
  </si>
  <si>
    <t xml:space="preserve">3. Vegger (bindingsverk)</t>
  </si>
  <si>
    <t xml:space="preserve">Stendere 48×98, sviller, mellomvegg, overbygg nordvegg</t>
  </si>
  <si>
    <t xml:space="preserve">4. Tak (bærende)</t>
  </si>
  <si>
    <t xml:space="preserve">Takbjelker 48×148, sydbjelke 2×48×198, vindskier</t>
  </si>
  <si>
    <t xml:space="preserve">5. Tak (tekking og lufting)</t>
  </si>
  <si>
    <t xml:space="preserve">Taktro, sløyfer, undertaksduk, shingel</t>
  </si>
  <si>
    <t xml:space="preserve">6. Utv. kledning og lufting</t>
  </si>
  <si>
    <t xml:space="preserve">Vindsperre, klimaspalte-lekter, stående tømmermannspanel</t>
  </si>
  <si>
    <t xml:space="preserve">7. Isolasjon</t>
  </si>
  <si>
    <t xml:space="preserve">Mineralull vegger, tak, gulv</t>
  </si>
  <si>
    <t xml:space="preserve">8. Dampsperre og innvendig panel</t>
  </si>
  <si>
    <t xml:space="preserve">Alu-folie, PE-folie, osp/furu panel</t>
  </si>
  <si>
    <t xml:space="preserve">9. Vinduer og dører</t>
  </si>
  <si>
    <t xml:space="preserve">Har vinduer/dører — kun monteringsskum + gerikter gjenstår</t>
  </si>
  <si>
    <t xml:space="preserve">10. Beslag, skruer og diverse</t>
  </si>
  <si>
    <t xml:space="preserve">Vinkelbeslag, spiker/skruer, tetting, beslag mot hytta</t>
  </si>
  <si>
    <t xml:space="preserve">11. Badstueinnredning</t>
  </si>
  <si>
    <t xml:space="preserve">Benker, ovn (separat), vifter, termometer</t>
  </si>
  <si>
    <t xml:space="preserve">TOTAL (eks. mva)</t>
  </si>
  <si>
    <t xml:space="preserve">MVA 25%</t>
  </si>
  <si>
    <t xml:space="preserve">TOTAL (inkl. mva)</t>
  </si>
  <si>
    <t xml:space="preserve">Notater:</t>
  </si>
  <si>
    <t xml:space="preserve">• Priser er veiledende estimater (norske priser Q1 2026). Sjekk faktiske priser hos lokal byggevarehandel.</t>
  </si>
  <si>
    <t xml:space="preserve">• Mengder inkluderer typisk 10-15 % kapp/spill der relevant.</t>
  </si>
  <si>
    <t xml:space="preserve">• Badstueovn (anbefalt 11 kW el. eller 13 kW vedfyrt) er ført opp, men bør bestilles separat med tilpasning til eget valg.</t>
  </si>
  <si>
    <t xml:space="preserve">• Eksisterende terrasse gjenbrukes som gulv i overbygget — ikke inkludert.</t>
  </si>
  <si>
    <t xml:space="preserve">• Grunnarbeid (graving, pukk, telesikring) er ikke med — legges til etter forhold på tomt.</t>
  </si>
  <si>
    <t xml:space="preserve">• Rigg og frakt utelatt fra sammendraget.</t>
  </si>
  <si>
    <t xml:space="preserve">PROSJEKT I TO TRINN</t>
  </si>
  <si>
    <t xml:space="preserve">Trinn 1: Hele bygget reises og lukkes, smørebod ferdig innredet. Badstuerommet står som ferdig isolert,</t>
  </si>
  <si>
    <t xml:space="preserve">lukket rårom — klart til å gjøres om til badstue senere (trinn 2).</t>
  </si>
  <si>
    <t xml:space="preserve">Trinn 2: Innredning av selve badstuerommet — dampsperre, osppanel, benker, ovn, gulv og utstyr.</t>
  </si>
  <si>
    <t xml:space="preserve">TRINN 2 — innredning av badstuerommet (utsettes)</t>
  </si>
  <si>
    <t xml:space="preserve">Vare</t>
  </si>
  <si>
    <t xml:space="preserve">Hører til</t>
  </si>
  <si>
    <t xml:space="preserve">Kostnad (kr)</t>
  </si>
  <si>
    <t xml:space="preserve">Sklisikkert badstuegulv (fliser/membran/sluk)</t>
  </si>
  <si>
    <t xml:space="preserve">Gulv</t>
  </si>
  <si>
    <t xml:space="preserve">Legges når rommet innredes</t>
  </si>
  <si>
    <t xml:space="preserve">Aluminiumsfolie dampsperre (badstue)</t>
  </si>
  <si>
    <t xml:space="preserve">Vegg/tak</t>
  </si>
  <si>
    <t xml:space="preserve">Monteres med osppanelet</t>
  </si>
  <si>
    <t xml:space="preserve">Osp-panel 15×70 (badstue innv. vegg + tak)</t>
  </si>
  <si>
    <t xml:space="preserve">Overflate</t>
  </si>
  <si>
    <t xml:space="preserve">Varmebestandig innvendig kledning</t>
  </si>
  <si>
    <t xml:space="preserve">Benkestolper / bjelker 48×98 osp</t>
  </si>
  <si>
    <t xml:space="preserve">Benker</t>
  </si>
  <si>
    <t xml:space="preserve">Benketoppbord 28×90 osp</t>
  </si>
  <si>
    <t xml:space="preserve">Sittflater m/ luftespalte</t>
  </si>
  <si>
    <t xml:space="preserve">Badstueovn (11 kW el. / 13 kW ved)</t>
  </si>
  <si>
    <t xml:space="preserve">Utstyr</t>
  </si>
  <si>
    <t xml:space="preserve">Anbefalt 11 kW — se ark Beregninger</t>
  </si>
  <si>
    <t xml:space="preserve">Varmeskjerm bak ovn</t>
  </si>
  <si>
    <t xml:space="preserve">Ved kort avstand til vegg</t>
  </si>
  <si>
    <t xml:space="preserve">Ventil tilluft 60 mm</t>
  </si>
  <si>
    <t xml:space="preserve">Ventilasjon</t>
  </si>
  <si>
    <t xml:space="preserve">Nede ved ovn</t>
  </si>
  <si>
    <t xml:space="preserve">Ventil avtrekk 100 mm m/ trekk</t>
  </si>
  <si>
    <t xml:space="preserve">Diagonalt motsatt hjørne</t>
  </si>
  <si>
    <t xml:space="preserve">Termometer / hygrometer</t>
  </si>
  <si>
    <t xml:space="preserve">Belysning IP-badstue</t>
  </si>
  <si>
    <t xml:space="preserve">El</t>
  </si>
  <si>
    <t xml:space="preserve">LED m/ trafo</t>
  </si>
  <si>
    <t xml:space="preserve">Badstuestein</t>
  </si>
  <si>
    <t xml:space="preserve">20–30 kg olivin/peridotitt</t>
  </si>
  <si>
    <t xml:space="preserve">Gulvrist badstue (tre)</t>
  </si>
  <si>
    <t xml:space="preserve">Osp eller sedertre</t>
  </si>
  <si>
    <t xml:space="preserve">SUM TRINN 2</t>
  </si>
  <si>
    <t xml:space="preserve">KOSTNADSOVERSIKT — TO VARIANTER</t>
  </si>
  <si>
    <t xml:space="preserve">Variant</t>
  </si>
  <si>
    <t xml:space="preserve">Eks. mva</t>
  </si>
  <si>
    <t xml:space="preserve">Inkl. mva 25 %</t>
  </si>
  <si>
    <t xml:space="preserve">Innhold</t>
  </si>
  <si>
    <t xml:space="preserve">VARIANT A — Helt ferdig (alt på én gang)</t>
  </si>
  <si>
    <t xml:space="preserve">Komplett bygg + smørebod + ferdig innredet badstue</t>
  </si>
  <si>
    <t xml:space="preserve">VARIANT B — Trinn 1 (badstuerom ikke innredet)</t>
  </si>
  <si>
    <t xml:space="preserve">Komplett, lukket og isolert bygg. Smørebod ferdig. Badstuerom = rårom</t>
  </si>
  <si>
    <t xml:space="preserve">       + Trinn 2 (badstuerom innredes senere)</t>
  </si>
  <si>
    <t xml:space="preserve">Dampsperre, osppanel, benker, ovn, gulv, ventiler, utstyr</t>
  </si>
  <si>
    <t xml:space="preserve">• I trinn 1 ER badstuerommet isolert (mineralull i vegg og tak) og lukket — kun overflater og utstyr gjenstår.</t>
  </si>
  <si>
    <t xml:space="preserve">• Dampsperre (alu-folie) monteres sammen med ospanelet i trinn 2 — derfor utsatt.</t>
  </si>
  <si>
    <t xml:space="preserve">• Smørebod/relax-rommet blir helt ferdig i trinn 1 og kan brukes umiddelbart.</t>
  </si>
  <si>
    <t xml:space="preserve">• Trinn 2 kan gjøres når som helst senere uten inngrep i bærende konstruksjon eller tak.</t>
  </si>
  <si>
    <t xml:space="preserve">• Beløpene oppdateres automatisk hvis du endrer priser/mengder i arket "Materialliste".</t>
  </si>
  <si>
    <t xml:space="preserve">• Tallene gjelder standardvalg. Budsjettvalg (ark "Budsjettvariant") kan kombineres med begge trinn.</t>
  </si>
  <si>
    <t xml:space="preserve">DETALJERT MATERIALLISTE</t>
  </si>
  <si>
    <t xml:space="preserve">Nr</t>
  </si>
  <si>
    <t xml:space="preserve">Vare / beskrivelse</t>
  </si>
  <si>
    <t xml:space="preserve">Dimensjon / spesifikasjon</t>
  </si>
  <si>
    <t xml:space="preserve">Enhet</t>
  </si>
  <si>
    <t xml:space="preserve">Netto mengde</t>
  </si>
  <si>
    <t xml:space="preserve">Kapp/spill %</t>
  </si>
  <si>
    <t xml:space="preserve">Bestilles</t>
  </si>
  <si>
    <t xml:space="preserve">Enhetspris (kr)</t>
  </si>
  <si>
    <t xml:space="preserve">Sum (kr)</t>
  </si>
  <si>
    <t xml:space="preserve">Kommentar</t>
  </si>
  <si>
    <t xml:space="preserve">Betong C25/30 (ferdigbl.)</t>
  </si>
  <si>
    <t xml:space="preserve">Sokler 6 stk: søyle 250×250×1800 + plate 500×500×200</t>
  </si>
  <si>
    <t xml:space="preserve">m³</t>
  </si>
  <si>
    <t xml:space="preserve">HAR ALLEREDE — gjenbruk. 6 sokler totalt</t>
  </si>
  <si>
    <t xml:space="preserve">Armering Ø12 kamstål</t>
  </si>
  <si>
    <t xml:space="preserve">Lengdestenger i søyle + krysspor i plate</t>
  </si>
  <si>
    <t xml:space="preserve">kg</t>
  </si>
  <si>
    <t xml:space="preserve">HAR ALLEREDE — gjenbruk. ~5 kg per sokkel</t>
  </si>
  <si>
    <t xml:space="preserve">Fundamentbolt M16×400 m/ mutter+skive</t>
  </si>
  <si>
    <t xml:space="preserve">Galvanisert for svillefeste</t>
  </si>
  <si>
    <t xml:space="preserve">stk</t>
  </si>
  <si>
    <t xml:space="preserve">HAR ALLEREDE — gjenbruk. 2 per sokkel</t>
  </si>
  <si>
    <t xml:space="preserve">Sokkelbånd / fuktsperre</t>
  </si>
  <si>
    <t xml:space="preserve">14,24 m perimeter + 5 cm overlapp</t>
  </si>
  <si>
    <t xml:space="preserve">m</t>
  </si>
  <si>
    <t xml:space="preserve">HAR ALLEREDE — gjenbruk. EPDM eller pvc</t>
  </si>
  <si>
    <t xml:space="preserve">Svill 48×148 trykkimpregnert</t>
  </si>
  <si>
    <t xml:space="preserve">Under yttervegg</t>
  </si>
  <si>
    <t xml:space="preserve">lm</t>
  </si>
  <si>
    <t xml:space="preserve">Ytterveggs svill</t>
  </si>
  <si>
    <t xml:space="preserve">Svill 48×98 trykkimpregnert</t>
  </si>
  <si>
    <t xml:space="preserve">Under mellomvegg</t>
  </si>
  <si>
    <t xml:space="preserve">Mellomvegg</t>
  </si>
  <si>
    <t xml:space="preserve">Gulvbjelker 48×148 C24</t>
  </si>
  <si>
    <t xml:space="preserve">c/c 600, spenn 2,46 m</t>
  </si>
  <si>
    <t xml:space="preserve">9 stk á 2,5 m</t>
  </si>
  <si>
    <t xml:space="preserve">Kantbjelker 48×148 C24</t>
  </si>
  <si>
    <t xml:space="preserve">Rundt bjelkelag</t>
  </si>
  <si>
    <t xml:space="preserve">Perimeter</t>
  </si>
  <si>
    <t xml:space="preserve">Radonsperre / bunnmembran</t>
  </si>
  <si>
    <t xml:space="preserve">Under gulv, radonpapp</t>
  </si>
  <si>
    <t xml:space="preserve">m²</t>
  </si>
  <si>
    <t xml:space="preserve">UTGÅR — bygget står på 6 pilarer med ventilert kryperom (radon luftes bort)</t>
  </si>
  <si>
    <t xml:space="preserve">Undergulv sponplate 22 mm P5</t>
  </si>
  <si>
    <t xml:space="preserve">Plate 600×2400</t>
  </si>
  <si>
    <t xml:space="preserve">3 stk</t>
  </si>
  <si>
    <t xml:space="preserve">Vindsperre / vindtetting ramme</t>
  </si>
  <si>
    <t xml:space="preserve">Duk mellom bjelkelag og yttervegg-svill</t>
  </si>
  <si>
    <t xml:space="preserve">Gulvbord 28×120 furu (smørebod)</t>
  </si>
  <si>
    <t xml:space="preserve">2,5 × 2,2 = 5,5 m²</t>
  </si>
  <si>
    <t xml:space="preserve">Høvlet furugulv</t>
  </si>
  <si>
    <t xml:space="preserve">Sklisikkert badstuegulv (fliser/betong)</t>
  </si>
  <si>
    <t xml:space="preserve">Ca 4 m² inkl sluk</t>
  </si>
  <si>
    <t xml:space="preserve">Fliser + membran + sluk</t>
  </si>
  <si>
    <t xml:space="preserve">Stendere 48×98 C24 (yttervegg)</t>
  </si>
  <si>
    <t xml:space="preserve">c/c 600, høyde 2,2 m avg</t>
  </si>
  <si>
    <t xml:space="preserve">~30 stendere</t>
  </si>
  <si>
    <t xml:space="preserve">Topp-/bunnsvill 48×98 (yttervegg)</t>
  </si>
  <si>
    <t xml:space="preserve">Perimeter × 2 svill</t>
  </si>
  <si>
    <t xml:space="preserve">Topp + bunn svill</t>
  </si>
  <si>
    <t xml:space="preserve">Topp-topptømmer dobbel 48×98</t>
  </si>
  <si>
    <t xml:space="preserve">Yttervegg topp</t>
  </si>
  <si>
    <t xml:space="preserve">Ekstra svill for takbjelker</t>
  </si>
  <si>
    <t xml:space="preserve">Stendere 48×98 mellomvegg</t>
  </si>
  <si>
    <t xml:space="preserve">2,46 m bred, c/c 600</t>
  </si>
  <si>
    <t xml:space="preserve">5 stendere</t>
  </si>
  <si>
    <t xml:space="preserve">Sviller mellomvegg 48×98</t>
  </si>
  <si>
    <t xml:space="preserve">Topp + bunn</t>
  </si>
  <si>
    <t xml:space="preserve">Dørramme forsterking 48×98</t>
  </si>
  <si>
    <t xml:space="preserve">Rundt dører og vinduer</t>
  </si>
  <si>
    <t xml:space="preserve">Forsterking åpninger</t>
  </si>
  <si>
    <t xml:space="preserve">Stendere 48×98 overbygg nordvegg</t>
  </si>
  <si>
    <t xml:space="preserve">c/c 600, 3 m vegg</t>
  </si>
  <si>
    <t xml:space="preserve">6 stendere</t>
  </si>
  <si>
    <t xml:space="preserve">Sviller 48×98 overbygg nordvegg</t>
  </si>
  <si>
    <t xml:space="preserve">Vindavstivning / diagonalavstivning</t>
  </si>
  <si>
    <t xml:space="preserve">22×98 skråstag el. stålbånd</t>
  </si>
  <si>
    <t xml:space="preserve">Takbjelker 48×148 C24</t>
  </si>
  <si>
    <t xml:space="preserve">c/c 500, lengde 3,06 m inkl utstikk</t>
  </si>
  <si>
    <t xml:space="preserve">16 bjelker over hele bygget + overbygg</t>
  </si>
  <si>
    <t xml:space="preserve">Sydbjelke 2×48×198 C24 (koblet)</t>
  </si>
  <si>
    <t xml:space="preserve">Overbygg fritt spenn 3 m</t>
  </si>
  <si>
    <t xml:space="preserve">2 stk × 3,3 m</t>
  </si>
  <si>
    <t xml:space="preserve">Forsterkning over vindu/dør 48×148</t>
  </si>
  <si>
    <t xml:space="preserve">Overligger over åpninger</t>
  </si>
  <si>
    <t xml:space="preserve">Vindskier 25×200 furu</t>
  </si>
  <si>
    <t xml:space="preserve">Øst-gavl (vest mot hytta med beslag)</t>
  </si>
  <si>
    <t xml:space="preserve">Bredere vindskier</t>
  </si>
  <si>
    <t xml:space="preserve">Gavlbord 22×170</t>
  </si>
  <si>
    <t xml:space="preserve">Takutstikk foran/bak</t>
  </si>
  <si>
    <t xml:space="preserve">2 × 7,66 m + litt ekstra</t>
  </si>
  <si>
    <t xml:space="preserve">Taktro 22×120 furu</t>
  </si>
  <si>
    <t xml:space="preserve">På sløyfer, underlag for shingel</t>
  </si>
  <si>
    <t xml:space="preserve">~20 m² takareal + utstikk</t>
  </si>
  <si>
    <t xml:space="preserve">Sløyfer 23×48 C24</t>
  </si>
  <si>
    <t xml:space="preserve">Langs takbjelker, 50 mm luftespalte</t>
  </si>
  <si>
    <t xml:space="preserve">Over undertaksduk</t>
  </si>
  <si>
    <t xml:space="preserve">Undertaksduk (diffusjonsåpen)</t>
  </si>
  <si>
    <t xml:space="preserve">f.eks. Delta-Vent eller tilsvarende</t>
  </si>
  <si>
    <t xml:space="preserve">1 rull 75 m² dekker</t>
  </si>
  <si>
    <t xml:space="preserve">Bitumen underlagspapp (shingel)</t>
  </si>
  <si>
    <t xml:space="preserve">Selvklebende, på taktro</t>
  </si>
  <si>
    <t xml:space="preserve">1-2 ruller</t>
  </si>
  <si>
    <t xml:space="preserve">Asfalt-shingel</t>
  </si>
  <si>
    <t xml:space="preserve">Pakke dekker 3 m² ferdig</t>
  </si>
  <si>
    <t xml:space="preserve">pakke</t>
  </si>
  <si>
    <t xml:space="preserve">~26 m² inkl kapp</t>
  </si>
  <si>
    <t xml:space="preserve">Shingel-spiker galvanisert</t>
  </si>
  <si>
    <t xml:space="preserve">25×2,8 mm</t>
  </si>
  <si>
    <t xml:space="preserve">Mønebord/overkant takkant</t>
  </si>
  <si>
    <t xml:space="preserve">22×148 furu</t>
  </si>
  <si>
    <t xml:space="preserve">Ventilasjonsåpning foran</t>
  </si>
  <si>
    <t xml:space="preserve">Insektnett (ventilasjon tak)</t>
  </si>
  <si>
    <t xml:space="preserve">Ved takfot bak og øvre takkant</t>
  </si>
  <si>
    <t xml:space="preserve">Mygg-/insektsnett 100 mm</t>
  </si>
  <si>
    <t xml:space="preserve">Vindsperre 9 mm vindtettplate</t>
  </si>
  <si>
    <t xml:space="preserve">Evt. diffusjonsåpen duk</t>
  </si>
  <si>
    <t xml:space="preserve">Over stendere</t>
  </si>
  <si>
    <t xml:space="preserve">Klimaspalte-lekter 23×48</t>
  </si>
  <si>
    <t xml:space="preserve">Horisontale (pga stående panel)</t>
  </si>
  <si>
    <t xml:space="preserve">Stående tømmermannspanel 22×120 (underbord)</t>
  </si>
  <si>
    <t xml:space="preserve">Furu, impregnert el. malt</t>
  </si>
  <si>
    <t xml:space="preserve">Yttervegg + nordvegg overbygg</t>
  </si>
  <si>
    <t xml:space="preserve">Stående panel overbord 22×85</t>
  </si>
  <si>
    <t xml:space="preserve">Smalere overbord</t>
  </si>
  <si>
    <t xml:space="preserve">Over underbord for tømmermannspanel</t>
  </si>
  <si>
    <t xml:space="preserve">Vannbord/dekkbord 22×120</t>
  </si>
  <si>
    <t xml:space="preserve">Topp/bunn av kledningen</t>
  </si>
  <si>
    <t xml:space="preserve">Maling / beis utv (10 L spann)</t>
  </si>
  <si>
    <t xml:space="preserve">2 strøk yttervegg</t>
  </si>
  <si>
    <t xml:space="preserve">L</t>
  </si>
  <si>
    <t xml:space="preserve">Trebitt / grunnolje + 2 strøk</t>
  </si>
  <si>
    <t xml:space="preserve">Mineralull 98 mm (yttervegg)</t>
  </si>
  <si>
    <t xml:space="preserve">48×98 stender-kavitet</t>
  </si>
  <si>
    <t xml:space="preserve">Veggiso A-klasse</t>
  </si>
  <si>
    <t xml:space="preserve">Mineralull 48 mm (mellomvegg + overbygg nord)</t>
  </si>
  <si>
    <t xml:space="preserve">Tynn iso</t>
  </si>
  <si>
    <t xml:space="preserve">Mineralull 148 mm (tak)</t>
  </si>
  <si>
    <t xml:space="preserve">I 48×148 takbjelker</t>
  </si>
  <si>
    <t xml:space="preserve">Badstue/smørebod del</t>
  </si>
  <si>
    <t xml:space="preserve">Mineralull 200 mm (gulv)</t>
  </si>
  <si>
    <t xml:space="preserve">Gulvbjelkelag</t>
  </si>
  <si>
    <t xml:space="preserve">148 + 48 lagvis</t>
  </si>
  <si>
    <t xml:space="preserve">Vegg + tak i badstuen</t>
  </si>
  <si>
    <t xml:space="preserve">1 rull 30 m²</t>
  </si>
  <si>
    <t xml:space="preserve">PE-folie 0,15 mm (smørebod)</t>
  </si>
  <si>
    <t xml:space="preserve">Vegg + tak smørebod</t>
  </si>
  <si>
    <t xml:space="preserve">1 rull</t>
  </si>
  <si>
    <t xml:space="preserve">Dampsperreteip</t>
  </si>
  <si>
    <t xml:space="preserve">Skjøter og overganger</t>
  </si>
  <si>
    <t xml:space="preserve">rull</t>
  </si>
  <si>
    <t xml:space="preserve">Osp-panel 15×70 (badstue innv.)</t>
  </si>
  <si>
    <t xml:space="preserve">Vegg + tak + benker</t>
  </si>
  <si>
    <t xml:space="preserve">Mindre reagerende på varme</t>
  </si>
  <si>
    <t xml:space="preserve">Furu-panel 15×120 (smørebod innv.)</t>
  </si>
  <si>
    <t xml:space="preserve">Vegg + tak</t>
  </si>
  <si>
    <t xml:space="preserve">Standard furupanel</t>
  </si>
  <si>
    <t xml:space="preserve">Vindu 60×150 fast, isolerglass</t>
  </si>
  <si>
    <t xml:space="preserve">Smørebod front</t>
  </si>
  <si>
    <t xml:space="preserve">HAR ALLEREDE — gjenbruk. U=1,2 el. bedre</t>
  </si>
  <si>
    <t xml:space="preserve">Badstue front (herdet glass)</t>
  </si>
  <si>
    <t xml:space="preserve">HAR ALLEREDE — gjenbruk. Varmebestandig</t>
  </si>
  <si>
    <t xml:space="preserve">Ytterdør 80×200 m/ vindu, isolert</t>
  </si>
  <si>
    <t xml:space="preserve">Vestvegg i overbygg</t>
  </si>
  <si>
    <t xml:space="preserve">HAR ALLEREDE — gjenbruk. </t>
  </si>
  <si>
    <t xml:space="preserve">Badstuedør 60×185 osp/furu m/ glass</t>
  </si>
  <si>
    <t xml:space="preserve">Mellomvegg smørebod→badstue</t>
  </si>
  <si>
    <t xml:space="preserve">HAR ALLEREDE — gjenbruk. Tempererbart glass</t>
  </si>
  <si>
    <t xml:space="preserve">Monteringsskum/drev rundt karm</t>
  </si>
  <si>
    <t xml:space="preserve">2-komp skum</t>
  </si>
  <si>
    <t xml:space="preserve">Gerikter/listverk (dør+vindu)</t>
  </si>
  <si>
    <t xml:space="preserve">15×58 furu</t>
  </si>
  <si>
    <t xml:space="preserve">Vinkelbeslag 90×90×65</t>
  </si>
  <si>
    <t xml:space="preserve">Gulvbjelke → svill, tak → vegg</t>
  </si>
  <si>
    <t xml:space="preserve">Bjelkesko justerbar</t>
  </si>
  <si>
    <t xml:space="preserve">For takbjelker ved veggtopp</t>
  </si>
  <si>
    <t xml:space="preserve">Sydbjelke-bæring (limtreskjøt/stålvinkel)</t>
  </si>
  <si>
    <t xml:space="preserve">Feste mot hytta + mot badstue</t>
  </si>
  <si>
    <t xml:space="preserve">sett</t>
  </si>
  <si>
    <t xml:space="preserve">Robuste stålplater</t>
  </si>
  <si>
    <t xml:space="preserve">Stålbånd vindavstivning</t>
  </si>
  <si>
    <t xml:space="preserve">Kryss på sidevegger</t>
  </si>
  <si>
    <t xml:space="preserve">Konstruksjonsskruer (mix)</t>
  </si>
  <si>
    <t xml:space="preserve">5×80, 6×100, 8×120</t>
  </si>
  <si>
    <t xml:space="preserve">Spiker 75 mm galvanisert</t>
  </si>
  <si>
    <t xml:space="preserve">Bindingsverk og sviller</t>
  </si>
  <si>
    <t xml:space="preserve">Spiker/skruer utv. kledning</t>
  </si>
  <si>
    <t xml:space="preserve">Syrefast A4, 75 mm</t>
  </si>
  <si>
    <t xml:space="preserve">Beslag mot hytta (tak)</t>
  </si>
  <si>
    <t xml:space="preserve">Bleiebeslag felt inn i hyttas kledning</t>
  </si>
  <si>
    <t xml:space="preserve">Tilpasses på stedet</t>
  </si>
  <si>
    <t xml:space="preserve">Beslag mot hytta (vegg)</t>
  </si>
  <si>
    <t xml:space="preserve">Vertikalt beslag mot nordvegg</t>
  </si>
  <si>
    <t xml:space="preserve">Silikon / akryl-fugemasse</t>
  </si>
  <si>
    <t xml:space="preserve">Rundt dør, vindu, overganger</t>
  </si>
  <si>
    <t xml:space="preserve">tube</t>
  </si>
  <si>
    <t xml:space="preserve">Drypplister + endestopper</t>
  </si>
  <si>
    <t xml:space="preserve">Utv. under kledning</t>
  </si>
  <si>
    <t xml:space="preserve">Bærekonstruksjon benker</t>
  </si>
  <si>
    <t xml:space="preserve">Sittflater med luftespalte</t>
  </si>
  <si>
    <t xml:space="preserve">Til benker + hodelist</t>
  </si>
  <si>
    <t xml:space="preserve">Badstueovn (separat bestilling)</t>
  </si>
  <si>
    <t xml:space="preserve">11 kW elektrisk el. 13 kW ved</t>
  </si>
  <si>
    <t xml:space="preserve">F.eks. Harvia/Tylö/Narvi</t>
  </si>
  <si>
    <t xml:space="preserve">Varmeskjerm bak ovn (stål)</t>
  </si>
  <si>
    <t xml:space="preserve">Hvis &lt; 25 cm til vegg</t>
  </si>
  <si>
    <t xml:space="preserve">Ventil tilluft (60 mm)</t>
  </si>
  <si>
    <t xml:space="preserve">Ventil avtrekk (100 mm) m/ trekk</t>
  </si>
  <si>
    <t xml:space="preserve">Diagonalt i motsatt hjørne</t>
  </si>
  <si>
    <t xml:space="preserve">Termometer/hygrometer</t>
  </si>
  <si>
    <t xml:space="preserve">Badstue-godkjent</t>
  </si>
  <si>
    <t xml:space="preserve">LED-armatur m/ trafo</t>
  </si>
  <si>
    <t xml:space="preserve">Badstuestein (til ovn)</t>
  </si>
  <si>
    <t xml:space="preserve">20-30 kg olivin eller peridotitt</t>
  </si>
  <si>
    <t xml:space="preserve">TOTAL</t>
  </si>
  <si>
    <t xml:space="preserve">STATISKE BEREGNINGER</t>
  </si>
  <si>
    <t xml:space="preserve">TAKBJELKER 48×148 C24 (c/c 500)</t>
  </si>
  <si>
    <t xml:space="preserve">Spenn</t>
  </si>
  <si>
    <t xml:space="preserve">2,46 m</t>
  </si>
  <si>
    <t xml:space="preserve">Snølast</t>
  </si>
  <si>
    <t xml:space="preserve">450 kg/m² = 4,41 kN/m²</t>
  </si>
  <si>
    <t xml:space="preserve">Last pr bjelke (c/c 0,5 m)</t>
  </si>
  <si>
    <t xml:space="preserve">2,21 kN/m</t>
  </si>
  <si>
    <t xml:space="preserve">Moment M = wL²/8</t>
  </si>
  <si>
    <t xml:space="preserve">1,67 kNm</t>
  </si>
  <si>
    <t xml:space="preserve">Moment-kapasitet M_Rd (C24, k_mod=0,9)</t>
  </si>
  <si>
    <t xml:space="preserve">2,91 kNm</t>
  </si>
  <si>
    <t xml:space="preserve">Utnyttelse</t>
  </si>
  <si>
    <t xml:space="preserve">57 %</t>
  </si>
  <si>
    <t xml:space="preserve">Nedbøyning δ = 5wL⁴/(384EI)</t>
  </si>
  <si>
    <t xml:space="preserve">4,5 mm</t>
  </si>
  <si>
    <t xml:space="preserve">Krav L/300</t>
  </si>
  <si>
    <t xml:space="preserve">8,2 mm</t>
  </si>
  <si>
    <t xml:space="preserve">Status</t>
  </si>
  <si>
    <t xml:space="preserve">OK</t>
  </si>
  <si>
    <t xml:space="preserve">SYDBJELKE OVERBYGG (fritt spenn 3 m)</t>
  </si>
  <si>
    <t xml:space="preserve">Last på bjelke</t>
  </si>
  <si>
    <t xml:space="preserve">5,43 kN/m</t>
  </si>
  <si>
    <t xml:space="preserve">6,11 kNm</t>
  </si>
  <si>
    <t xml:space="preserve">1 × 48×198 M_Rd</t>
  </si>
  <si>
    <t xml:space="preserve">5,21 kNm</t>
  </si>
  <si>
    <t xml:space="preserve">2 × 48×198 koblet M_Rd</t>
  </si>
  <si>
    <t xml:space="preserve">10,4 kNm</t>
  </si>
  <si>
    <t xml:space="preserve">Nedbøyning (2×48×198)</t>
  </si>
  <si>
    <t xml:space="preserve">8,3 mm</t>
  </si>
  <si>
    <t xml:space="preserve">Status 2×48×198</t>
  </si>
  <si>
    <t xml:space="preserve">FUNDAMENT</t>
  </si>
  <si>
    <t xml:space="preserve">Egenvekt bygg</t>
  </si>
  <si>
    <t xml:space="preserve">~3,8 t</t>
  </si>
  <si>
    <t xml:space="preserve">Snølast på hele taket</t>
  </si>
  <si>
    <t xml:space="preserve">~5,2 t</t>
  </si>
  <si>
    <t xml:space="preserve">Nyttelast</t>
  </si>
  <si>
    <t xml:space="preserve">0,5 t</t>
  </si>
  <si>
    <t xml:space="preserve">Total dim. last</t>
  </si>
  <si>
    <t xml:space="preserve">9,6 t = 94 kN</t>
  </si>
  <si>
    <t xml:space="preserve">Antall sokler</t>
  </si>
  <si>
    <t xml:space="preserve">6</t>
  </si>
  <si>
    <t xml:space="preserve">Last pr sokkel</t>
  </si>
  <si>
    <t xml:space="preserve">~16 kN (dim. 25 kN m/ sikkerhet)</t>
  </si>
  <si>
    <t xml:space="preserve">Sokkel-dimensjon</t>
  </si>
  <si>
    <t xml:space="preserve">250×250×1800 + plate 500×500×200</t>
  </si>
  <si>
    <t xml:space="preserve">Fundamentdybde</t>
  </si>
  <si>
    <t xml:space="preserve">1,8–2,0 m under terreng (telefri)</t>
  </si>
  <si>
    <t xml:space="preserve">BADSTUEOVN</t>
  </si>
  <si>
    <t xml:space="preserve">Grunnvolum</t>
  </si>
  <si>
    <t xml:space="preserve">8,73 m³</t>
  </si>
  <si>
    <t xml:space="preserve">Vindu-tillegg (0,9 m² × 1,5)</t>
  </si>
  <si>
    <t xml:space="preserve">1,35 m³</t>
  </si>
  <si>
    <t xml:space="preserve">Dør-tillegg</t>
  </si>
  <si>
    <t xml:space="preserve">0,33 m³</t>
  </si>
  <si>
    <t xml:space="preserve">Effektivt volum</t>
  </si>
  <si>
    <t xml:space="preserve">10,41 m³</t>
  </si>
  <si>
    <t xml:space="preserve">Minimum effekt (1,0 kW/m³)</t>
  </si>
  <si>
    <t xml:space="preserve">10,4 kW</t>
  </si>
  <si>
    <t xml:space="preserve">Anbefalt (1,1 kW/m³)</t>
  </si>
  <si>
    <t xml:space="preserve">11,0 kW</t>
  </si>
  <si>
    <t xml:space="preserve">Rask oppvarming (1,3 kW/m³)</t>
  </si>
  <si>
    <t xml:space="preserve">13,5 kW</t>
  </si>
  <si>
    <t xml:space="preserve">BUDSJETTVARIANT — i to trinn</t>
  </si>
  <si>
    <t xml:space="preserve">Rimeligere materialvalg, merket med hvilket byggetrinn de hører til.</t>
  </si>
  <si>
    <t xml:space="preserve">Vinduer, dører og fundamenter har du allerede — holdt utenfor (kostnad 0).</t>
  </si>
  <si>
    <t xml:space="preserve">Reisverk, isolasjon, dampsperre, vindsperre og lufting er IKKE rørt.</t>
  </si>
  <si>
    <t xml:space="preserve">Post</t>
  </si>
  <si>
    <t xml:space="preserve">Trinn</t>
  </si>
  <si>
    <t xml:space="preserve">Standard-valg</t>
  </si>
  <si>
    <t xml:space="preserve">Standard kr</t>
  </si>
  <si>
    <t xml:space="preserve">Budsjett-valg</t>
  </si>
  <si>
    <t xml:space="preserve">Budsjett kr</t>
  </si>
  <si>
    <t xml:space="preserve">Spart kr</t>
  </si>
  <si>
    <t xml:space="preserve">Taktekking</t>
  </si>
  <si>
    <t xml:space="preserve">Trinn 1</t>
  </si>
  <si>
    <t xml:space="preserve">Asfalt-shingel + taktro 22 mm + bitumen-papp</t>
  </si>
  <si>
    <t xml:space="preserve">Ståltak (profilerte plater) på lekter — taktro utgår</t>
  </si>
  <si>
    <t xml:space="preserve">Utvendig kledning</t>
  </si>
  <si>
    <t xml:space="preserve">Stående tømmermannspanel (2-lags) + 2 strøk maling</t>
  </si>
  <si>
    <t xml:space="preserve">Royalimpregnert dobbeltfals stående panel (1-lag)</t>
  </si>
  <si>
    <t xml:space="preserve">Innv. panel badstue</t>
  </si>
  <si>
    <t xml:space="preserve">Trinn 2</t>
  </si>
  <si>
    <t xml:space="preserve">Osp-panel 22 m² (~420 kr/m²)</t>
  </si>
  <si>
    <t xml:space="preserve">Varmebehandlet furu-panel (osp beholdes på benkene)</t>
  </si>
  <si>
    <t xml:space="preserve">Badstueovn</t>
  </si>
  <si>
    <t xml:space="preserve">Plassholder (kvalitetsovn)</t>
  </si>
  <si>
    <t xml:space="preserve">Standard elektrisk 11 kW (f.eks. Harvia Vega)</t>
  </si>
  <si>
    <t xml:space="preserve">Gulvrist + belysning</t>
  </si>
  <si>
    <t xml:space="preserve">Gulvrist sedertre + LED-armatursett</t>
  </si>
  <si>
    <t xml:space="preserve">Enkel gulvrist + enklere armatur</t>
  </si>
  <si>
    <t xml:space="preserve">SUM ENDRINGER</t>
  </si>
  <si>
    <t xml:space="preserve">KOSTNADSMATRISE — variant × trinn (eks. mva)</t>
  </si>
  <si>
    <t xml:space="preserve">Trinn 1 (uten badstue-innredning)</t>
  </si>
  <si>
    <t xml:space="preserve">Trinn 2 (innredning badstuerom)</t>
  </si>
  <si>
    <t xml:space="preserve">Totalt (helt ferdig)</t>
  </si>
  <si>
    <t xml:space="preserve">Standard</t>
  </si>
  <si>
    <t xml:space="preserve">Budsjett</t>
  </si>
  <si>
    <t xml:space="preserve">Besparelse</t>
  </si>
  <si>
    <t xml:space="preserve">Budsjett inkl. mva 25 %</t>
  </si>
  <si>
    <t xml:space="preserve">Slik leser du matrisen:</t>
  </si>
  <si>
    <t xml:space="preserve">• Vil du bygge billigst mulig nå og utsette badstuerommet: se "Budsjett / Trinn 1".</t>
  </si>
  <si>
    <t xml:space="preserve">• Trinn 1 + Trinn 2 i en kolonne summerer alltid til "Totalt" i samme rad.</t>
  </si>
  <si>
    <t xml:space="preserve">• Standard Trinn 1 / Trinn 2 hentes automatisk fra arket "Prosjektfaser".</t>
  </si>
  <si>
    <t xml:space="preserve">• Ståltak og kledning er trinn 1-tiltak; ovn, badstuepanel og gulvrist/lys er trinn 2.</t>
  </si>
  <si>
    <t xml:space="preserve">• Reisverk, fundament, isolasjon, dampsperre, vindsperre og lufting er beholdt uendret i begge varianter.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</si>
</sst>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 kr&quot;"/>
    <numFmt numFmtId="166" formatCode="0\%"/>
    <numFmt numFmtId="167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5DBDB"/>
        <bgColor rgb="FFD6EAF8"/>
      </patternFill>
    </fill>
    <fill>
      <patternFill patternType="solid">
        <fgColor rgb="FF2C3E50"/>
        <bgColor rgb="FF333399"/>
      </patternFill>
    </fill>
    <fill>
      <patternFill patternType="solid">
        <fgColor rgb="FFF9E79F"/>
        <bgColor rgb="FFFCE4D6"/>
      </patternFill>
    </fill>
    <fill>
      <patternFill patternType="solid">
        <fgColor rgb="FFFCE4D6"/>
        <bgColor rgb="FFF2F2F2"/>
      </patternFill>
    </fill>
    <fill>
      <patternFill patternType="solid">
        <fgColor rgb="FFD6EAF8"/>
        <bgColor rgb="FFD4EFDF"/>
      </patternFill>
    </fill>
    <fill>
      <patternFill patternType="solid">
        <fgColor rgb="FFE8F6E8"/>
        <bgColor rgb="FFF2F2F2"/>
      </patternFill>
    </fill>
    <fill>
      <patternFill patternType="solid">
        <fgColor rgb="FFF2F2F2"/>
        <bgColor rgb="FFE8F6E8"/>
      </patternFill>
    </fill>
    <fill>
      <patternFill patternType="solid">
        <fgColor rgb="FFD4EFDF"/>
        <bgColor rgb="FFD6E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6E8"/>
      <rgbColor rgb="FFD6EAF8"/>
      <rgbColor rgb="FF660066"/>
      <rgbColor rgb="FFFF8080"/>
      <rgbColor rgb="FF0066CC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FDF"/>
      <rgbColor rgb="FFF9E79F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40"/>
    <col collapsed="false" customWidth="true" hidden="false" outlineLevel="0" max="5" min="5" style="1" width="12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 t="s">
        <v>3</v>
      </c>
    </row>
    <row r="6" customFormat="false" ht="15" hidden="false" customHeight="true" outlineLevel="0" collapsed="false">
      <c r="A6" s="4" t="s">
        <v>4</v>
      </c>
      <c r="B6" s="4"/>
      <c r="C6" s="4"/>
      <c r="D6" s="4"/>
      <c r="E6" s="4"/>
    </row>
    <row r="7" customFormat="false" ht="15" hidden="false" customHeight="true" outlineLevel="0" collapsed="false">
      <c r="A7" s="5" t="s">
        <v>5</v>
      </c>
      <c r="B7" s="6" t="s">
        <v>6</v>
      </c>
      <c r="C7" s="6"/>
      <c r="D7" s="6"/>
      <c r="E7" s="6"/>
    </row>
    <row r="8" customFormat="false" ht="15" hidden="false" customHeight="true" outlineLevel="0" collapsed="false">
      <c r="A8" s="5" t="s">
        <v>7</v>
      </c>
      <c r="B8" s="6" t="s">
        <v>8</v>
      </c>
      <c r="C8" s="6"/>
      <c r="D8" s="6"/>
      <c r="E8" s="6"/>
    </row>
    <row r="9" customFormat="false" ht="15" hidden="false" customHeight="true" outlineLevel="0" collapsed="false">
      <c r="A9" s="5" t="s">
        <v>9</v>
      </c>
      <c r="B9" s="6" t="s">
        <v>10</v>
      </c>
      <c r="C9" s="6"/>
      <c r="D9" s="6"/>
      <c r="E9" s="6"/>
    </row>
    <row r="10" customFormat="false" ht="15" hidden="false" customHeight="true" outlineLevel="0" collapsed="false">
      <c r="A10" s="5" t="s">
        <v>11</v>
      </c>
      <c r="B10" s="6" t="s">
        <v>12</v>
      </c>
      <c r="C10" s="6"/>
      <c r="D10" s="6"/>
      <c r="E10" s="6"/>
    </row>
    <row r="11" customFormat="false" ht="15" hidden="false" customHeight="true" outlineLevel="0" collapsed="false">
      <c r="A11" s="5" t="s">
        <v>13</v>
      </c>
      <c r="B11" s="6" t="s">
        <v>14</v>
      </c>
      <c r="C11" s="6"/>
      <c r="D11" s="6"/>
      <c r="E11" s="6"/>
    </row>
    <row r="12" customFormat="false" ht="15" hidden="false" customHeight="true" outlineLevel="0" collapsed="false">
      <c r="A12" s="5" t="s">
        <v>15</v>
      </c>
      <c r="B12" s="6" t="s">
        <v>16</v>
      </c>
      <c r="C12" s="6"/>
      <c r="D12" s="6"/>
      <c r="E12" s="6"/>
    </row>
    <row r="13" customFormat="false" ht="15" hidden="false" customHeight="true" outlineLevel="0" collapsed="false">
      <c r="A13" s="5" t="s">
        <v>17</v>
      </c>
      <c r="B13" s="6" t="s">
        <v>18</v>
      </c>
      <c r="C13" s="6"/>
      <c r="D13" s="6"/>
      <c r="E13" s="6"/>
    </row>
    <row r="14" customFormat="false" ht="15" hidden="false" customHeight="true" outlineLevel="0" collapsed="false">
      <c r="A14" s="5" t="s">
        <v>19</v>
      </c>
      <c r="B14" s="6" t="s">
        <v>20</v>
      </c>
      <c r="C14" s="6"/>
      <c r="D14" s="6"/>
      <c r="E14" s="6"/>
    </row>
    <row r="16" customFormat="false" ht="15" hidden="false" customHeight="true" outlineLevel="0" collapsed="false">
      <c r="A16" s="4" t="s">
        <v>21</v>
      </c>
      <c r="B16" s="4"/>
      <c r="C16" s="4"/>
      <c r="D16" s="4"/>
      <c r="E16" s="4"/>
    </row>
    <row r="17" customFormat="false" ht="15" hidden="false" customHeight="true" outlineLevel="0" collapsed="false">
      <c r="A17" s="7" t="s">
        <v>22</v>
      </c>
      <c r="B17" s="7" t="s">
        <v>23</v>
      </c>
      <c r="C17" s="7" t="s">
        <v>24</v>
      </c>
      <c r="D17" s="7" t="s">
        <v>25</v>
      </c>
    </row>
    <row r="18" customFormat="false" ht="15" hidden="false" customHeight="true" outlineLevel="0" collapsed="false">
      <c r="A18" s="8" t="s">
        <v>26</v>
      </c>
      <c r="B18" s="9" t="n">
        <f aca="false">COUNTIF(Materialliste!C3:C79,A18)</f>
        <v>4</v>
      </c>
      <c r="C18" s="10" t="n">
        <f aca="false">SUMIF(Materialliste!C3:C79,A18,Materialliste!J3:J79)</f>
        <v>0</v>
      </c>
      <c r="D18" s="8" t="s">
        <v>27</v>
      </c>
    </row>
    <row r="19" customFormat="false" ht="15" hidden="false" customHeight="true" outlineLevel="0" collapsed="false">
      <c r="A19" s="8" t="s">
        <v>28</v>
      </c>
      <c r="B19" s="9" t="n">
        <f aca="false">COUNTIF(Materialliste!C3:C79,A19)</f>
        <v>9</v>
      </c>
      <c r="C19" s="10" t="n">
        <f aca="false">SUMIF(Materialliste!C3:C79,A19,Materialliste!J3:J79)</f>
        <v>12898</v>
      </c>
      <c r="D19" s="8" t="s">
        <v>29</v>
      </c>
    </row>
    <row r="20" customFormat="false" ht="15" hidden="false" customHeight="true" outlineLevel="0" collapsed="false">
      <c r="A20" s="8" t="s">
        <v>30</v>
      </c>
      <c r="B20" s="9" t="n">
        <f aca="false">COUNTIF(Materialliste!C3:C79,A20)</f>
        <v>9</v>
      </c>
      <c r="C20" s="10" t="n">
        <f aca="false">SUMIF(Materialliste!C3:C79,A20,Materialliste!J3:J79)</f>
        <v>8777</v>
      </c>
      <c r="D20" s="8" t="s">
        <v>31</v>
      </c>
    </row>
    <row r="21" customFormat="false" ht="15" hidden="false" customHeight="true" outlineLevel="0" collapsed="false">
      <c r="A21" s="8" t="s">
        <v>32</v>
      </c>
      <c r="B21" s="9" t="n">
        <f aca="false">COUNTIF(Materialliste!C3:C79,A21)</f>
        <v>5</v>
      </c>
      <c r="C21" s="10" t="n">
        <f aca="false">SUMIF(Materialliste!C3:C79,A21,Materialliste!J3:J79)</f>
        <v>7733</v>
      </c>
      <c r="D21" s="8" t="s">
        <v>33</v>
      </c>
    </row>
    <row r="22" customFormat="false" ht="15" hidden="false" customHeight="true" outlineLevel="0" collapsed="false">
      <c r="A22" s="8" t="s">
        <v>34</v>
      </c>
      <c r="B22" s="9" t="n">
        <f aca="false">COUNTIF(Materialliste!C3:C79,A22)</f>
        <v>8</v>
      </c>
      <c r="C22" s="10" t="n">
        <f aca="false">SUMIF(Materialliste!C3:C79,A22,Materialliste!J3:J79)</f>
        <v>19390</v>
      </c>
      <c r="D22" s="8" t="s">
        <v>35</v>
      </c>
    </row>
    <row r="23" customFormat="false" ht="15" hidden="false" customHeight="true" outlineLevel="0" collapsed="false">
      <c r="A23" s="8" t="s">
        <v>36</v>
      </c>
      <c r="B23" s="9" t="n">
        <f aca="false">COUNTIF(Materialliste!C3:C79,A23)</f>
        <v>6</v>
      </c>
      <c r="C23" s="10" t="n">
        <f aca="false">SUMIF(Materialliste!C3:C79,A23,Materialliste!J3:J79)</f>
        <v>36864</v>
      </c>
      <c r="D23" s="8" t="s">
        <v>37</v>
      </c>
    </row>
    <row r="24" customFormat="false" ht="15" hidden="false" customHeight="true" outlineLevel="0" collapsed="false">
      <c r="A24" s="8" t="s">
        <v>38</v>
      </c>
      <c r="B24" s="9" t="n">
        <f aca="false">COUNTIF(Materialliste!C3:C79,A24)</f>
        <v>4</v>
      </c>
      <c r="C24" s="10" t="n">
        <f aca="false">SUMIF(Materialliste!C3:C79,A24,Materialliste!J3:J79)</f>
        <v>11006</v>
      </c>
      <c r="D24" s="8" t="s">
        <v>39</v>
      </c>
    </row>
    <row r="25" customFormat="false" ht="15" hidden="false" customHeight="true" outlineLevel="0" collapsed="false">
      <c r="A25" s="8" t="s">
        <v>40</v>
      </c>
      <c r="B25" s="9" t="n">
        <f aca="false">COUNTIF(Materialliste!C3:C79,A25)</f>
        <v>5</v>
      </c>
      <c r="C25" s="10" t="n">
        <f aca="false">SUMIF(Materialliste!C3:C79,A25,Materialliste!J3:J79)</f>
        <v>21326</v>
      </c>
      <c r="D25" s="8" t="s">
        <v>41</v>
      </c>
    </row>
    <row r="26" customFormat="false" ht="15" hidden="false" customHeight="true" outlineLevel="0" collapsed="false">
      <c r="A26" s="8" t="s">
        <v>42</v>
      </c>
      <c r="B26" s="9" t="n">
        <f aca="false">COUNTIF(Materialliste!C3:C79,A26)</f>
        <v>6</v>
      </c>
      <c r="C26" s="10" t="n">
        <f aca="false">SUMIF(Materialliste!C3:C79,A26,Materialliste!J3:J79)</f>
        <v>1990</v>
      </c>
      <c r="D26" s="8" t="s">
        <v>43</v>
      </c>
    </row>
    <row r="27" customFormat="false" ht="15" hidden="false" customHeight="true" outlineLevel="0" collapsed="false">
      <c r="A27" s="8" t="s">
        <v>44</v>
      </c>
      <c r="B27" s="9" t="n">
        <f aca="false">COUNTIF(Materialliste!C3:C79,A27)</f>
        <v>11</v>
      </c>
      <c r="C27" s="10" t="n">
        <f aca="false">SUMIF(Materialliste!C3:C79,A27,Materialliste!J3:J79)</f>
        <v>13059</v>
      </c>
      <c r="D27" s="8" t="s">
        <v>45</v>
      </c>
    </row>
    <row r="28" customFormat="false" ht="15" hidden="false" customHeight="true" outlineLevel="0" collapsed="false">
      <c r="A28" s="8" t="s">
        <v>46</v>
      </c>
      <c r="B28" s="9" t="n">
        <f aca="false">COUNTIF(Materialliste!C3:C79,A28)</f>
        <v>10</v>
      </c>
      <c r="C28" s="10" t="n">
        <f aca="false">SUMIF(Materialliste!C3:C79,A28,Materialliste!J3:J79)</f>
        <v>21315</v>
      </c>
      <c r="D28" s="8" t="s">
        <v>47</v>
      </c>
    </row>
    <row r="29" customFormat="false" ht="15" hidden="false" customHeight="true" outlineLevel="0" collapsed="false">
      <c r="A29" s="11" t="s">
        <v>48</v>
      </c>
      <c r="B29" s="12"/>
      <c r="C29" s="13" t="n">
        <f aca="false">SUM(C18:C28)</f>
        <v>154358</v>
      </c>
      <c r="D29" s="12"/>
    </row>
    <row r="30" customFormat="false" ht="15" hidden="false" customHeight="true" outlineLevel="0" collapsed="false">
      <c r="A30" s="5" t="s">
        <v>49</v>
      </c>
      <c r="C30" s="14" t="n">
        <f aca="false">C29*0.25</f>
        <v>38589.5</v>
      </c>
    </row>
    <row r="31" customFormat="false" ht="15" hidden="false" customHeight="true" outlineLevel="0" collapsed="false">
      <c r="A31" s="11" t="s">
        <v>50</v>
      </c>
      <c r="B31" s="12"/>
      <c r="C31" s="13" t="n">
        <f aca="false">C29+C30</f>
        <v>192947.5</v>
      </c>
      <c r="D31" s="12"/>
    </row>
    <row r="34" customFormat="false" ht="15" hidden="false" customHeight="true" outlineLevel="0" collapsed="false">
      <c r="A34" s="15" t="s">
        <v>51</v>
      </c>
    </row>
    <row r="35" customFormat="false" ht="15" hidden="false" customHeight="true" outlineLevel="0" collapsed="false">
      <c r="A35" s="16" t="s">
        <v>52</v>
      </c>
      <c r="B35" s="16"/>
      <c r="C35" s="16"/>
      <c r="D35" s="16"/>
      <c r="E35" s="16"/>
    </row>
    <row r="36" customFormat="false" ht="15" hidden="false" customHeight="true" outlineLevel="0" collapsed="false">
      <c r="A36" s="16" t="s">
        <v>53</v>
      </c>
      <c r="B36" s="16"/>
      <c r="C36" s="16"/>
      <c r="D36" s="16"/>
      <c r="E36" s="16"/>
    </row>
    <row r="37" customFormat="false" ht="15" hidden="false" customHeight="true" outlineLevel="0" collapsed="false">
      <c r="A37" s="16" t="s">
        <v>54</v>
      </c>
      <c r="B37" s="16"/>
      <c r="C37" s="16"/>
      <c r="D37" s="16"/>
      <c r="E37" s="16"/>
    </row>
    <row r="38" customFormat="false" ht="15" hidden="false" customHeight="true" outlineLevel="0" collapsed="false">
      <c r="A38" s="16" t="s">
        <v>55</v>
      </c>
      <c r="B38" s="16"/>
      <c r="C38" s="16"/>
      <c r="D38" s="16"/>
      <c r="E38" s="16"/>
    </row>
    <row r="39" customFormat="false" ht="15" hidden="false" customHeight="true" outlineLevel="0" collapsed="false">
      <c r="A39" s="16" t="s">
        <v>56</v>
      </c>
      <c r="B39" s="16"/>
      <c r="C39" s="16"/>
      <c r="D39" s="16"/>
      <c r="E39" s="16"/>
    </row>
    <row r="40" customFormat="false" ht="15" hidden="false" customHeight="true" outlineLevel="0" collapsed="false">
      <c r="A40" s="16" t="s">
        <v>57</v>
      </c>
      <c r="B40" s="16"/>
      <c r="C40" s="16"/>
      <c r="D40" s="16"/>
      <c r="E40" s="16"/>
    </row>
  </sheetData>
  <mergeCells count="17">
    <mergeCell ref="A1:E1"/>
    <mergeCell ref="A6:E6"/>
    <mergeCell ref="B7:E7"/>
    <mergeCell ref="B8:E8"/>
    <mergeCell ref="B9:E9"/>
    <mergeCell ref="B10:E10"/>
    <mergeCell ref="B11:E11"/>
    <mergeCell ref="B12:E12"/>
    <mergeCell ref="B13:E13"/>
    <mergeCell ref="B14:E14"/>
    <mergeCell ref="A16:E16"/>
    <mergeCell ref="A35:E35"/>
    <mergeCell ref="A36:E36"/>
    <mergeCell ref="A37:E37"/>
    <mergeCell ref="A38:E38"/>
    <mergeCell ref="A39:E39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2" t="s">
        <v>58</v>
      </c>
      <c r="B1" s="2"/>
      <c r="C1" s="2"/>
      <c r="D1" s="2"/>
    </row>
    <row r="2" customFormat="false" ht="15" hidden="false" customHeight="true" outlineLevel="0" collapsed="false">
      <c r="A2" s="16" t="s">
        <v>59</v>
      </c>
      <c r="B2" s="16"/>
      <c r="C2" s="16"/>
      <c r="D2" s="16"/>
    </row>
    <row r="3" customFormat="false" ht="15" hidden="false" customHeight="true" outlineLevel="0" collapsed="false">
      <c r="A3" s="16" t="s">
        <v>60</v>
      </c>
      <c r="B3" s="16"/>
      <c r="C3" s="16"/>
      <c r="D3" s="16"/>
    </row>
    <row r="4" customFormat="false" ht="15" hidden="false" customHeight="true" outlineLevel="0" collapsed="false">
      <c r="A4" s="16" t="s">
        <v>61</v>
      </c>
      <c r="B4" s="16"/>
      <c r="C4" s="16"/>
      <c r="D4" s="16"/>
    </row>
    <row r="6" customFormat="false" ht="15" hidden="false" customHeight="true" outlineLevel="0" collapsed="false">
      <c r="A6" s="4" t="s">
        <v>62</v>
      </c>
      <c r="B6" s="4"/>
      <c r="C6" s="4"/>
      <c r="D6" s="4"/>
    </row>
    <row r="7" customFormat="false" ht="15" hidden="false" customHeight="true" outlineLevel="0" collapsed="false">
      <c r="A7" s="7" t="s">
        <v>63</v>
      </c>
      <c r="B7" s="7" t="s">
        <v>64</v>
      </c>
      <c r="C7" s="7" t="s">
        <v>65</v>
      </c>
      <c r="D7" s="7" t="s">
        <v>25</v>
      </c>
    </row>
    <row r="8" customFormat="false" ht="15" hidden="false" customHeight="true" outlineLevel="0" collapsed="false">
      <c r="A8" s="17" t="s">
        <v>66</v>
      </c>
      <c r="B8" s="18" t="s">
        <v>67</v>
      </c>
      <c r="C8" s="19" t="n">
        <f aca="false">Materialliste!J15</f>
        <v>3000</v>
      </c>
      <c r="D8" s="17" t="s">
        <v>68</v>
      </c>
    </row>
    <row r="9" customFormat="false" ht="15" hidden="false" customHeight="true" outlineLevel="0" collapsed="false">
      <c r="A9" s="17" t="s">
        <v>69</v>
      </c>
      <c r="B9" s="18" t="s">
        <v>70</v>
      </c>
      <c r="C9" s="19" t="n">
        <f aca="false">Materialliste!J48</f>
        <v>2508</v>
      </c>
      <c r="D9" s="17" t="s">
        <v>71</v>
      </c>
    </row>
    <row r="10" customFormat="false" ht="15" hidden="false" customHeight="true" outlineLevel="0" collapsed="false">
      <c r="A10" s="17" t="s">
        <v>72</v>
      </c>
      <c r="B10" s="18" t="s">
        <v>73</v>
      </c>
      <c r="C10" s="19" t="n">
        <f aca="false">Materialliste!J51</f>
        <v>10626</v>
      </c>
      <c r="D10" s="17" t="s">
        <v>74</v>
      </c>
    </row>
    <row r="11" customFormat="false" ht="15" hidden="false" customHeight="true" outlineLevel="0" collapsed="false">
      <c r="A11" s="17" t="s">
        <v>75</v>
      </c>
      <c r="B11" s="18" t="s">
        <v>76</v>
      </c>
      <c r="C11" s="19" t="n">
        <f aca="false">Materialliste!J70</f>
        <v>2090</v>
      </c>
      <c r="D11" s="17"/>
    </row>
    <row r="12" customFormat="false" ht="15" hidden="false" customHeight="true" outlineLevel="0" collapsed="false">
      <c r="A12" s="17" t="s">
        <v>77</v>
      </c>
      <c r="B12" s="18" t="s">
        <v>76</v>
      </c>
      <c r="C12" s="19" t="n">
        <f aca="false">Materialliste!J71</f>
        <v>5610</v>
      </c>
      <c r="D12" s="17" t="s">
        <v>78</v>
      </c>
    </row>
    <row r="13" customFormat="false" ht="15" hidden="false" customHeight="true" outlineLevel="0" collapsed="false">
      <c r="A13" s="17" t="s">
        <v>79</v>
      </c>
      <c r="B13" s="18" t="s">
        <v>80</v>
      </c>
      <c r="C13" s="19" t="n">
        <f aca="false">Materialliste!J72</f>
        <v>9000</v>
      </c>
      <c r="D13" s="17" t="s">
        <v>81</v>
      </c>
    </row>
    <row r="14" customFormat="false" ht="15" hidden="false" customHeight="true" outlineLevel="0" collapsed="false">
      <c r="A14" s="17" t="s">
        <v>82</v>
      </c>
      <c r="B14" s="18" t="s">
        <v>80</v>
      </c>
      <c r="C14" s="19" t="n">
        <f aca="false">Materialliste!J73</f>
        <v>850</v>
      </c>
      <c r="D14" s="17" t="s">
        <v>83</v>
      </c>
    </row>
    <row r="15" customFormat="false" ht="15" hidden="false" customHeight="true" outlineLevel="0" collapsed="false">
      <c r="A15" s="17" t="s">
        <v>84</v>
      </c>
      <c r="B15" s="18" t="s">
        <v>85</v>
      </c>
      <c r="C15" s="19" t="n">
        <f aca="false">Materialliste!J74</f>
        <v>220</v>
      </c>
      <c r="D15" s="17" t="s">
        <v>86</v>
      </c>
    </row>
    <row r="16" customFormat="false" ht="15" hidden="false" customHeight="true" outlineLevel="0" collapsed="false">
      <c r="A16" s="17" t="s">
        <v>87</v>
      </c>
      <c r="B16" s="18" t="s">
        <v>85</v>
      </c>
      <c r="C16" s="19" t="n">
        <f aca="false">Materialliste!J75</f>
        <v>320</v>
      </c>
      <c r="D16" s="17" t="s">
        <v>88</v>
      </c>
    </row>
    <row r="17" customFormat="false" ht="15" hidden="false" customHeight="true" outlineLevel="0" collapsed="false">
      <c r="A17" s="17" t="s">
        <v>89</v>
      </c>
      <c r="B17" s="18" t="s">
        <v>80</v>
      </c>
      <c r="C17" s="19" t="n">
        <f aca="false">Materialliste!J76</f>
        <v>450</v>
      </c>
      <c r="D17" s="17"/>
    </row>
    <row r="18" customFormat="false" ht="15" hidden="false" customHeight="true" outlineLevel="0" collapsed="false">
      <c r="A18" s="17" t="s">
        <v>90</v>
      </c>
      <c r="B18" s="18" t="s">
        <v>91</v>
      </c>
      <c r="C18" s="19" t="n">
        <f aca="false">Materialliste!J77</f>
        <v>950</v>
      </c>
      <c r="D18" s="17" t="s">
        <v>92</v>
      </c>
    </row>
    <row r="19" customFormat="false" ht="15" hidden="false" customHeight="true" outlineLevel="0" collapsed="false">
      <c r="A19" s="17" t="s">
        <v>93</v>
      </c>
      <c r="B19" s="18" t="s">
        <v>80</v>
      </c>
      <c r="C19" s="19" t="n">
        <f aca="false">Materialliste!J78</f>
        <v>625</v>
      </c>
      <c r="D19" s="17" t="s">
        <v>94</v>
      </c>
    </row>
    <row r="20" customFormat="false" ht="15" hidden="false" customHeight="true" outlineLevel="0" collapsed="false">
      <c r="A20" s="17" t="s">
        <v>95</v>
      </c>
      <c r="B20" s="18" t="s">
        <v>67</v>
      </c>
      <c r="C20" s="19" t="n">
        <f aca="false">Materialliste!J79</f>
        <v>1200</v>
      </c>
      <c r="D20" s="17" t="s">
        <v>96</v>
      </c>
    </row>
    <row r="21" customFormat="false" ht="15" hidden="false" customHeight="true" outlineLevel="0" collapsed="false">
      <c r="A21" s="20" t="s">
        <v>97</v>
      </c>
      <c r="B21" s="21"/>
      <c r="C21" s="22" t="n">
        <f aca="false">SUM(C8:C20)</f>
        <v>37449</v>
      </c>
      <c r="D21" s="21"/>
    </row>
    <row r="23" customFormat="false" ht="15" hidden="false" customHeight="true" outlineLevel="0" collapsed="false">
      <c r="A23" s="4" t="s">
        <v>98</v>
      </c>
      <c r="B23" s="4"/>
      <c r="C23" s="4"/>
      <c r="D23" s="4"/>
    </row>
    <row r="24" customFormat="false" ht="15" hidden="false" customHeight="true" outlineLevel="0" collapsed="false">
      <c r="A24" s="7" t="s">
        <v>99</v>
      </c>
      <c r="B24" s="7" t="s">
        <v>100</v>
      </c>
      <c r="C24" s="7" t="s">
        <v>101</v>
      </c>
      <c r="D24" s="7" t="s">
        <v>102</v>
      </c>
    </row>
    <row r="25" customFormat="false" ht="15" hidden="false" customHeight="true" outlineLevel="0" collapsed="false">
      <c r="A25" s="20" t="s">
        <v>103</v>
      </c>
      <c r="B25" s="22" t="n">
        <f aca="false">Materialliste!J80</f>
        <v>154358</v>
      </c>
      <c r="C25" s="22" t="n">
        <f aca="false">Materialliste!J80*1.25</f>
        <v>192947.5</v>
      </c>
      <c r="D25" s="23" t="s">
        <v>104</v>
      </c>
    </row>
    <row r="26" customFormat="false" ht="23.25" hidden="false" customHeight="true" outlineLevel="0" collapsed="false">
      <c r="A26" s="24" t="s">
        <v>105</v>
      </c>
      <c r="B26" s="25" t="n">
        <f aca="false">Materialliste!J80-C21</f>
        <v>116909</v>
      </c>
      <c r="C26" s="25" t="n">
        <f aca="false">(Materialliste!J80-C21)*1.25</f>
        <v>146136.25</v>
      </c>
      <c r="D26" s="26" t="s">
        <v>106</v>
      </c>
    </row>
    <row r="27" customFormat="false" ht="15" hidden="false" customHeight="true" outlineLevel="0" collapsed="false">
      <c r="A27" s="8" t="s">
        <v>107</v>
      </c>
      <c r="B27" s="10" t="n">
        <f aca="false">C21</f>
        <v>37449</v>
      </c>
      <c r="C27" s="10" t="n">
        <f aca="false">C21*1.25</f>
        <v>46811.25</v>
      </c>
      <c r="D27" s="27" t="s">
        <v>108</v>
      </c>
    </row>
    <row r="29" customFormat="false" ht="15" hidden="false" customHeight="true" outlineLevel="0" collapsed="false">
      <c r="A29" s="15" t="s">
        <v>51</v>
      </c>
    </row>
    <row r="30" customFormat="false" ht="15" hidden="false" customHeight="true" outlineLevel="0" collapsed="false">
      <c r="A30" s="16" t="s">
        <v>109</v>
      </c>
      <c r="B30" s="16"/>
      <c r="C30" s="16"/>
      <c r="D30" s="16"/>
    </row>
    <row r="31" customFormat="false" ht="15" hidden="false" customHeight="true" outlineLevel="0" collapsed="false">
      <c r="A31" s="16" t="s">
        <v>110</v>
      </c>
      <c r="B31" s="16"/>
      <c r="C31" s="16"/>
      <c r="D31" s="16"/>
    </row>
    <row r="32" customFormat="false" ht="15" hidden="false" customHeight="true" outlineLevel="0" collapsed="false">
      <c r="A32" s="16" t="s">
        <v>111</v>
      </c>
      <c r="B32" s="16"/>
      <c r="C32" s="16"/>
      <c r="D32" s="16"/>
    </row>
    <row r="33" customFormat="false" ht="15" hidden="false" customHeight="true" outlineLevel="0" collapsed="false">
      <c r="A33" s="16" t="s">
        <v>112</v>
      </c>
      <c r="B33" s="16"/>
      <c r="C33" s="16"/>
      <c r="D33" s="16"/>
    </row>
    <row r="34" customFormat="false" ht="15" hidden="false" customHeight="true" outlineLevel="0" collapsed="false">
      <c r="A34" s="16" t="s">
        <v>113</v>
      </c>
      <c r="B34" s="16"/>
      <c r="C34" s="16"/>
      <c r="D34" s="16"/>
    </row>
    <row r="35" customFormat="false" ht="15" hidden="false" customHeight="true" outlineLevel="0" collapsed="false">
      <c r="A35" s="16" t="s">
        <v>114</v>
      </c>
      <c r="B35" s="16"/>
      <c r="C35" s="16"/>
      <c r="D35" s="16"/>
    </row>
  </sheetData>
  <mergeCells count="12">
    <mergeCell ref="A1:D1"/>
    <mergeCell ref="A2:D2"/>
    <mergeCell ref="A3:D3"/>
    <mergeCell ref="A4:D4"/>
    <mergeCell ref="A6:D6"/>
    <mergeCell ref="A23:D23"/>
    <mergeCell ref="A30:D30"/>
    <mergeCell ref="A31:D31"/>
    <mergeCell ref="A32:D32"/>
    <mergeCell ref="A33:D33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3" min="3" style="1" width="30"/>
    <col collapsed="false" customWidth="true" hidden="false" outlineLevel="0" max="4" min="4" style="1" width="35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10" min="9" style="1" width="14"/>
    <col collapsed="false" customWidth="true" hidden="false" outlineLevel="0" max="11" min="11" style="1" width="28"/>
  </cols>
  <sheetData>
    <row r="1" customFormat="false" ht="17.25" hidden="false" customHeight="true" outlineLevel="0" collapsed="false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7" t="s">
        <v>116</v>
      </c>
      <c r="B2" s="7" t="s">
        <v>117</v>
      </c>
      <c r="C2" s="7" t="s">
        <v>22</v>
      </c>
      <c r="D2" s="7" t="s">
        <v>118</v>
      </c>
      <c r="E2" s="7" t="s">
        <v>119</v>
      </c>
      <c r="F2" s="7" t="s">
        <v>120</v>
      </c>
      <c r="G2" s="7" t="s">
        <v>121</v>
      </c>
      <c r="H2" s="7" t="s">
        <v>122</v>
      </c>
      <c r="I2" s="7" t="s">
        <v>123</v>
      </c>
      <c r="J2" s="7" t="s">
        <v>124</v>
      </c>
      <c r="K2" s="7" t="s">
        <v>125</v>
      </c>
    </row>
    <row r="3" customFormat="false" ht="23.25" hidden="false" customHeight="true" outlineLevel="0" collapsed="false">
      <c r="A3" s="28" t="n">
        <v>1</v>
      </c>
      <c r="B3" s="29" t="s">
        <v>126</v>
      </c>
      <c r="C3" s="29" t="s">
        <v>26</v>
      </c>
      <c r="D3" s="29" t="s">
        <v>127</v>
      </c>
      <c r="E3" s="28" t="s">
        <v>128</v>
      </c>
      <c r="F3" s="30" t="n">
        <v>1</v>
      </c>
      <c r="G3" s="31" t="n">
        <v>10</v>
      </c>
      <c r="H3" s="30" t="n">
        <f aca="false">ROUND(F3*(1+G3/100),1)</f>
        <v>1.1</v>
      </c>
      <c r="I3" s="32" t="n">
        <v>0</v>
      </c>
      <c r="J3" s="33" t="n">
        <f aca="false">ROUND(H3*I3,0)</f>
        <v>0</v>
      </c>
      <c r="K3" s="29" t="s">
        <v>129</v>
      </c>
    </row>
    <row r="4" customFormat="false" ht="15" hidden="false" customHeight="true" outlineLevel="0" collapsed="false">
      <c r="A4" s="28" t="n">
        <v>2</v>
      </c>
      <c r="B4" s="29" t="s">
        <v>130</v>
      </c>
      <c r="C4" s="29" t="s">
        <v>26</v>
      </c>
      <c r="D4" s="29" t="s">
        <v>131</v>
      </c>
      <c r="E4" s="28" t="s">
        <v>132</v>
      </c>
      <c r="F4" s="30" t="n">
        <v>30</v>
      </c>
      <c r="G4" s="31" t="n">
        <v>10</v>
      </c>
      <c r="H4" s="30" t="n">
        <f aca="false">ROUND(F4*(1+G4/100),1)</f>
        <v>33</v>
      </c>
      <c r="I4" s="32" t="n">
        <v>0</v>
      </c>
      <c r="J4" s="33" t="n">
        <f aca="false">ROUND(H4*I4,0)</f>
        <v>0</v>
      </c>
      <c r="K4" s="29" t="s">
        <v>133</v>
      </c>
    </row>
    <row r="5" customFormat="false" ht="15" hidden="false" customHeight="true" outlineLevel="0" collapsed="false">
      <c r="A5" s="28" t="n">
        <v>3</v>
      </c>
      <c r="B5" s="29" t="s">
        <v>134</v>
      </c>
      <c r="C5" s="29" t="s">
        <v>26</v>
      </c>
      <c r="D5" s="29" t="s">
        <v>135</v>
      </c>
      <c r="E5" s="28" t="s">
        <v>136</v>
      </c>
      <c r="F5" s="30" t="n">
        <v>12</v>
      </c>
      <c r="G5" s="31" t="n">
        <v>0</v>
      </c>
      <c r="H5" s="30" t="n">
        <f aca="false">ROUND(F5*(1+G5/100),1)</f>
        <v>12</v>
      </c>
      <c r="I5" s="32" t="n">
        <v>0</v>
      </c>
      <c r="J5" s="33" t="n">
        <f aca="false">ROUND(H5*I5,0)</f>
        <v>0</v>
      </c>
      <c r="K5" s="29" t="s">
        <v>137</v>
      </c>
    </row>
    <row r="6" customFormat="false" ht="15" hidden="false" customHeight="true" outlineLevel="0" collapsed="false">
      <c r="A6" s="28" t="n">
        <v>4</v>
      </c>
      <c r="B6" s="29" t="s">
        <v>138</v>
      </c>
      <c r="C6" s="29" t="s">
        <v>26</v>
      </c>
      <c r="D6" s="29" t="s">
        <v>139</v>
      </c>
      <c r="E6" s="28" t="s">
        <v>140</v>
      </c>
      <c r="F6" s="30" t="n">
        <v>16</v>
      </c>
      <c r="G6" s="31" t="n">
        <v>5</v>
      </c>
      <c r="H6" s="30" t="n">
        <f aca="false">ROUND(F6*(1+G6/100),1)</f>
        <v>16.8</v>
      </c>
      <c r="I6" s="32" t="n">
        <v>0</v>
      </c>
      <c r="J6" s="33" t="n">
        <f aca="false">ROUND(H6*I6,0)</f>
        <v>0</v>
      </c>
      <c r="K6" s="29" t="s">
        <v>141</v>
      </c>
    </row>
    <row r="7" customFormat="false" ht="15" hidden="false" customHeight="true" outlineLevel="0" collapsed="false">
      <c r="A7" s="9" t="n">
        <v>5</v>
      </c>
      <c r="B7" s="27" t="s">
        <v>142</v>
      </c>
      <c r="C7" s="27" t="s">
        <v>28</v>
      </c>
      <c r="D7" s="27" t="s">
        <v>143</v>
      </c>
      <c r="E7" s="9" t="s">
        <v>144</v>
      </c>
      <c r="F7" s="34" t="n">
        <v>14.24</v>
      </c>
      <c r="G7" s="35" t="n">
        <v>10</v>
      </c>
      <c r="H7" s="34" t="n">
        <f aca="false">ROUND(F7*(1+G7/100),1)</f>
        <v>15.7</v>
      </c>
      <c r="I7" s="36" t="n">
        <v>65</v>
      </c>
      <c r="J7" s="10" t="n">
        <f aca="false">ROUND(H7*I7,0)</f>
        <v>1021</v>
      </c>
      <c r="K7" s="27" t="s">
        <v>145</v>
      </c>
    </row>
    <row r="8" customFormat="false" ht="15" hidden="false" customHeight="true" outlineLevel="0" collapsed="false">
      <c r="A8" s="9" t="n">
        <v>6</v>
      </c>
      <c r="B8" s="27" t="s">
        <v>146</v>
      </c>
      <c r="C8" s="27" t="s">
        <v>28</v>
      </c>
      <c r="D8" s="27" t="s">
        <v>147</v>
      </c>
      <c r="E8" s="9" t="s">
        <v>144</v>
      </c>
      <c r="F8" s="34" t="n">
        <v>2.46</v>
      </c>
      <c r="G8" s="35" t="n">
        <v>10</v>
      </c>
      <c r="H8" s="34" t="n">
        <f aca="false">ROUND(F8*(1+G8/100),1)</f>
        <v>2.7</v>
      </c>
      <c r="I8" s="36" t="n">
        <v>45</v>
      </c>
      <c r="J8" s="10" t="n">
        <f aca="false">ROUND(H8*I8,0)</f>
        <v>122</v>
      </c>
      <c r="K8" s="27" t="s">
        <v>148</v>
      </c>
    </row>
    <row r="9" customFormat="false" ht="15" hidden="false" customHeight="true" outlineLevel="0" collapsed="false">
      <c r="A9" s="9" t="n">
        <v>7</v>
      </c>
      <c r="B9" s="27" t="s">
        <v>149</v>
      </c>
      <c r="C9" s="27" t="s">
        <v>28</v>
      </c>
      <c r="D9" s="27" t="s">
        <v>150</v>
      </c>
      <c r="E9" s="9" t="s">
        <v>144</v>
      </c>
      <c r="F9" s="34" t="n">
        <v>22</v>
      </c>
      <c r="G9" s="35" t="n">
        <v>10</v>
      </c>
      <c r="H9" s="34" t="n">
        <f aca="false">ROUND(F9*(1+G9/100),1)</f>
        <v>24.2</v>
      </c>
      <c r="I9" s="36" t="n">
        <v>65</v>
      </c>
      <c r="J9" s="10" t="n">
        <f aca="false">ROUND(H9*I9,0)</f>
        <v>1573</v>
      </c>
      <c r="K9" s="27" t="s">
        <v>151</v>
      </c>
    </row>
    <row r="10" customFormat="false" ht="15" hidden="false" customHeight="true" outlineLevel="0" collapsed="false">
      <c r="A10" s="9" t="n">
        <v>8</v>
      </c>
      <c r="B10" s="27" t="s">
        <v>152</v>
      </c>
      <c r="C10" s="27" t="s">
        <v>28</v>
      </c>
      <c r="D10" s="27" t="s">
        <v>153</v>
      </c>
      <c r="E10" s="9" t="s">
        <v>144</v>
      </c>
      <c r="F10" s="34" t="n">
        <v>15</v>
      </c>
      <c r="G10" s="35" t="n">
        <v>10</v>
      </c>
      <c r="H10" s="34" t="n">
        <f aca="false">ROUND(F10*(1+G10/100),1)</f>
        <v>16.5</v>
      </c>
      <c r="I10" s="36" t="n">
        <v>65</v>
      </c>
      <c r="J10" s="10" t="n">
        <f aca="false">ROUND(H10*I10,0)</f>
        <v>1073</v>
      </c>
      <c r="K10" s="27" t="s">
        <v>154</v>
      </c>
    </row>
    <row r="11" customFormat="false" ht="15" hidden="false" customHeight="true" outlineLevel="0" collapsed="false">
      <c r="A11" s="37" t="n">
        <v>9</v>
      </c>
      <c r="B11" s="38" t="s">
        <v>155</v>
      </c>
      <c r="C11" s="38" t="s">
        <v>28</v>
      </c>
      <c r="D11" s="38" t="s">
        <v>156</v>
      </c>
      <c r="E11" s="37" t="s">
        <v>157</v>
      </c>
      <c r="F11" s="39" t="n">
        <v>12</v>
      </c>
      <c r="G11" s="40" t="n">
        <v>15</v>
      </c>
      <c r="H11" s="39" t="n">
        <f aca="false">ROUND(F11*(1+G11/100),1)</f>
        <v>13.8</v>
      </c>
      <c r="I11" s="41" t="n">
        <v>0</v>
      </c>
      <c r="J11" s="42" t="n">
        <f aca="false">ROUND(H11*I11,0)</f>
        <v>0</v>
      </c>
      <c r="K11" s="38" t="s">
        <v>158</v>
      </c>
    </row>
    <row r="12" customFormat="false" ht="15" hidden="false" customHeight="true" outlineLevel="0" collapsed="false">
      <c r="A12" s="9" t="n">
        <v>10</v>
      </c>
      <c r="B12" s="27" t="s">
        <v>159</v>
      </c>
      <c r="C12" s="27" t="s">
        <v>28</v>
      </c>
      <c r="D12" s="27" t="s">
        <v>160</v>
      </c>
      <c r="E12" s="9" t="s">
        <v>157</v>
      </c>
      <c r="F12" s="34" t="n">
        <v>12</v>
      </c>
      <c r="G12" s="35" t="n">
        <v>10</v>
      </c>
      <c r="H12" s="34" t="n">
        <f aca="false">ROUND(F12*(1+G12/100),1)</f>
        <v>13.2</v>
      </c>
      <c r="I12" s="36" t="n">
        <v>180</v>
      </c>
      <c r="J12" s="10" t="n">
        <f aca="false">ROUND(H12*I12,0)</f>
        <v>2376</v>
      </c>
      <c r="K12" s="27" t="s">
        <v>161</v>
      </c>
    </row>
    <row r="13" customFormat="false" ht="15" hidden="false" customHeight="true" outlineLevel="0" collapsed="false">
      <c r="A13" s="9" t="n">
        <v>11</v>
      </c>
      <c r="B13" s="27" t="s">
        <v>162</v>
      </c>
      <c r="C13" s="27" t="s">
        <v>28</v>
      </c>
      <c r="D13" s="27" t="s">
        <v>163</v>
      </c>
      <c r="E13" s="9" t="s">
        <v>144</v>
      </c>
      <c r="F13" s="34" t="n">
        <v>14.24</v>
      </c>
      <c r="G13" s="35" t="n">
        <v>10</v>
      </c>
      <c r="H13" s="34" t="n">
        <f aca="false">ROUND(F13*(1+G13/100),1)</f>
        <v>15.7</v>
      </c>
      <c r="I13" s="36" t="n">
        <v>40</v>
      </c>
      <c r="J13" s="10" t="n">
        <f aca="false">ROUND(H13*I13,0)</f>
        <v>628</v>
      </c>
      <c r="K13" s="27"/>
    </row>
    <row r="14" customFormat="false" ht="15" hidden="false" customHeight="true" outlineLevel="0" collapsed="false">
      <c r="A14" s="9" t="n">
        <v>12</v>
      </c>
      <c r="B14" s="27" t="s">
        <v>164</v>
      </c>
      <c r="C14" s="27" t="s">
        <v>28</v>
      </c>
      <c r="D14" s="27" t="s">
        <v>165</v>
      </c>
      <c r="E14" s="9" t="s">
        <v>157</v>
      </c>
      <c r="F14" s="34" t="n">
        <v>6</v>
      </c>
      <c r="G14" s="35" t="n">
        <v>15</v>
      </c>
      <c r="H14" s="34" t="n">
        <f aca="false">ROUND(F14*(1+G14/100),1)</f>
        <v>6.9</v>
      </c>
      <c r="I14" s="36" t="n">
        <v>450</v>
      </c>
      <c r="J14" s="10" t="n">
        <f aca="false">ROUND(H14*I14,0)</f>
        <v>3105</v>
      </c>
      <c r="K14" s="27" t="s">
        <v>166</v>
      </c>
    </row>
    <row r="15" customFormat="false" ht="15" hidden="false" customHeight="true" outlineLevel="0" collapsed="false">
      <c r="A15" s="9" t="n">
        <v>13</v>
      </c>
      <c r="B15" s="27" t="s">
        <v>167</v>
      </c>
      <c r="C15" s="27" t="s">
        <v>28</v>
      </c>
      <c r="D15" s="27" t="s">
        <v>168</v>
      </c>
      <c r="E15" s="9" t="s">
        <v>157</v>
      </c>
      <c r="F15" s="34" t="n">
        <v>4.5</v>
      </c>
      <c r="G15" s="35" t="n">
        <v>10</v>
      </c>
      <c r="H15" s="34" t="n">
        <f aca="false">ROUND(F15*(1+G15/100),1)</f>
        <v>5</v>
      </c>
      <c r="I15" s="36" t="n">
        <v>600</v>
      </c>
      <c r="J15" s="10" t="n">
        <f aca="false">ROUND(H15*I15,0)</f>
        <v>3000</v>
      </c>
      <c r="K15" s="27" t="s">
        <v>169</v>
      </c>
    </row>
    <row r="16" customFormat="false" ht="15" hidden="false" customHeight="true" outlineLevel="0" collapsed="false">
      <c r="A16" s="9" t="n">
        <v>14</v>
      </c>
      <c r="B16" s="27" t="s">
        <v>170</v>
      </c>
      <c r="C16" s="27" t="s">
        <v>30</v>
      </c>
      <c r="D16" s="27" t="s">
        <v>171</v>
      </c>
      <c r="E16" s="9" t="s">
        <v>144</v>
      </c>
      <c r="F16" s="34" t="n">
        <v>66</v>
      </c>
      <c r="G16" s="35" t="n">
        <v>10</v>
      </c>
      <c r="H16" s="34" t="n">
        <f aca="false">ROUND(F16*(1+G16/100),1)</f>
        <v>72.6</v>
      </c>
      <c r="I16" s="36" t="n">
        <v>45</v>
      </c>
      <c r="J16" s="10" t="n">
        <f aca="false">ROUND(H16*I16,0)</f>
        <v>3267</v>
      </c>
      <c r="K16" s="27" t="s">
        <v>172</v>
      </c>
    </row>
    <row r="17" customFormat="false" ht="15" hidden="false" customHeight="true" outlineLevel="0" collapsed="false">
      <c r="A17" s="9" t="n">
        <v>15</v>
      </c>
      <c r="B17" s="27" t="s">
        <v>173</v>
      </c>
      <c r="C17" s="27" t="s">
        <v>30</v>
      </c>
      <c r="D17" s="27" t="s">
        <v>174</v>
      </c>
      <c r="E17" s="9" t="s">
        <v>144</v>
      </c>
      <c r="F17" s="34" t="n">
        <v>29</v>
      </c>
      <c r="G17" s="35" t="n">
        <v>10</v>
      </c>
      <c r="H17" s="34" t="n">
        <f aca="false">ROUND(F17*(1+G17/100),1)</f>
        <v>31.9</v>
      </c>
      <c r="I17" s="36" t="n">
        <v>45</v>
      </c>
      <c r="J17" s="10" t="n">
        <f aca="false">ROUND(H17*I17,0)</f>
        <v>1436</v>
      </c>
      <c r="K17" s="27" t="s">
        <v>175</v>
      </c>
    </row>
    <row r="18" customFormat="false" ht="15" hidden="false" customHeight="true" outlineLevel="0" collapsed="false">
      <c r="A18" s="9" t="n">
        <v>16</v>
      </c>
      <c r="B18" s="27" t="s">
        <v>176</v>
      </c>
      <c r="C18" s="27" t="s">
        <v>30</v>
      </c>
      <c r="D18" s="27" t="s">
        <v>177</v>
      </c>
      <c r="E18" s="9" t="s">
        <v>144</v>
      </c>
      <c r="F18" s="34" t="n">
        <v>14.24</v>
      </c>
      <c r="G18" s="35" t="n">
        <v>10</v>
      </c>
      <c r="H18" s="34" t="n">
        <f aca="false">ROUND(F18*(1+G18/100),1)</f>
        <v>15.7</v>
      </c>
      <c r="I18" s="36" t="n">
        <v>45</v>
      </c>
      <c r="J18" s="10" t="n">
        <f aca="false">ROUND(H18*I18,0)</f>
        <v>707</v>
      </c>
      <c r="K18" s="27" t="s">
        <v>178</v>
      </c>
    </row>
    <row r="19" customFormat="false" ht="15" hidden="false" customHeight="true" outlineLevel="0" collapsed="false">
      <c r="A19" s="9" t="n">
        <v>17</v>
      </c>
      <c r="B19" s="27" t="s">
        <v>179</v>
      </c>
      <c r="C19" s="27" t="s">
        <v>30</v>
      </c>
      <c r="D19" s="27" t="s">
        <v>180</v>
      </c>
      <c r="E19" s="9" t="s">
        <v>144</v>
      </c>
      <c r="F19" s="34" t="n">
        <v>11</v>
      </c>
      <c r="G19" s="35" t="n">
        <v>10</v>
      </c>
      <c r="H19" s="34" t="n">
        <f aca="false">ROUND(F19*(1+G19/100),1)</f>
        <v>12.1</v>
      </c>
      <c r="I19" s="36" t="n">
        <v>45</v>
      </c>
      <c r="J19" s="10" t="n">
        <f aca="false">ROUND(H19*I19,0)</f>
        <v>545</v>
      </c>
      <c r="K19" s="27" t="s">
        <v>181</v>
      </c>
    </row>
    <row r="20" customFormat="false" ht="15" hidden="false" customHeight="true" outlineLevel="0" collapsed="false">
      <c r="A20" s="9" t="n">
        <v>18</v>
      </c>
      <c r="B20" s="27" t="s">
        <v>182</v>
      </c>
      <c r="C20" s="27" t="s">
        <v>30</v>
      </c>
      <c r="D20" s="27" t="s">
        <v>183</v>
      </c>
      <c r="E20" s="9" t="s">
        <v>144</v>
      </c>
      <c r="F20" s="34" t="n">
        <v>5</v>
      </c>
      <c r="G20" s="35" t="n">
        <v>10</v>
      </c>
      <c r="H20" s="34" t="n">
        <f aca="false">ROUND(F20*(1+G20/100),1)</f>
        <v>5.5</v>
      </c>
      <c r="I20" s="36" t="n">
        <v>45</v>
      </c>
      <c r="J20" s="10" t="n">
        <f aca="false">ROUND(H20*I20,0)</f>
        <v>248</v>
      </c>
      <c r="K20" s="27"/>
    </row>
    <row r="21" customFormat="false" ht="15" hidden="false" customHeight="true" outlineLevel="0" collapsed="false">
      <c r="A21" s="9" t="n">
        <v>19</v>
      </c>
      <c r="B21" s="27" t="s">
        <v>184</v>
      </c>
      <c r="C21" s="27" t="s">
        <v>30</v>
      </c>
      <c r="D21" s="27" t="s">
        <v>185</v>
      </c>
      <c r="E21" s="9" t="s">
        <v>144</v>
      </c>
      <c r="F21" s="34" t="n">
        <v>12</v>
      </c>
      <c r="G21" s="35" t="n">
        <v>10</v>
      </c>
      <c r="H21" s="34" t="n">
        <f aca="false">ROUND(F21*(1+G21/100),1)</f>
        <v>13.2</v>
      </c>
      <c r="I21" s="36" t="n">
        <v>45</v>
      </c>
      <c r="J21" s="10" t="n">
        <f aca="false">ROUND(H21*I21,0)</f>
        <v>594</v>
      </c>
      <c r="K21" s="27" t="s">
        <v>186</v>
      </c>
    </row>
    <row r="22" customFormat="false" ht="15" hidden="false" customHeight="true" outlineLevel="0" collapsed="false">
      <c r="A22" s="9" t="n">
        <v>20</v>
      </c>
      <c r="B22" s="27" t="s">
        <v>187</v>
      </c>
      <c r="C22" s="27" t="s">
        <v>30</v>
      </c>
      <c r="D22" s="27" t="s">
        <v>188</v>
      </c>
      <c r="E22" s="9" t="s">
        <v>144</v>
      </c>
      <c r="F22" s="34" t="n">
        <v>14</v>
      </c>
      <c r="G22" s="35" t="n">
        <v>10</v>
      </c>
      <c r="H22" s="34" t="n">
        <f aca="false">ROUND(F22*(1+G22/100),1)</f>
        <v>15.4</v>
      </c>
      <c r="I22" s="36" t="n">
        <v>45</v>
      </c>
      <c r="J22" s="10" t="n">
        <f aca="false">ROUND(H22*I22,0)</f>
        <v>693</v>
      </c>
      <c r="K22" s="27" t="s">
        <v>189</v>
      </c>
    </row>
    <row r="23" customFormat="false" ht="15" hidden="false" customHeight="true" outlineLevel="0" collapsed="false">
      <c r="A23" s="9" t="n">
        <v>21</v>
      </c>
      <c r="B23" s="27" t="s">
        <v>190</v>
      </c>
      <c r="C23" s="27" t="s">
        <v>30</v>
      </c>
      <c r="D23" s="27" t="s">
        <v>183</v>
      </c>
      <c r="E23" s="9" t="s">
        <v>144</v>
      </c>
      <c r="F23" s="34" t="n">
        <v>6</v>
      </c>
      <c r="G23" s="35" t="n">
        <v>10</v>
      </c>
      <c r="H23" s="34" t="n">
        <f aca="false">ROUND(F23*(1+G23/100),1)</f>
        <v>6.6</v>
      </c>
      <c r="I23" s="36" t="n">
        <v>45</v>
      </c>
      <c r="J23" s="10" t="n">
        <f aca="false">ROUND(H23*I23,0)</f>
        <v>297</v>
      </c>
      <c r="K23" s="27"/>
    </row>
    <row r="24" customFormat="false" ht="15" hidden="false" customHeight="true" outlineLevel="0" collapsed="false">
      <c r="A24" s="9" t="n">
        <v>22</v>
      </c>
      <c r="B24" s="27" t="s">
        <v>191</v>
      </c>
      <c r="C24" s="27" t="s">
        <v>30</v>
      </c>
      <c r="D24" s="27" t="s">
        <v>192</v>
      </c>
      <c r="E24" s="9" t="s">
        <v>144</v>
      </c>
      <c r="F24" s="34" t="n">
        <v>30</v>
      </c>
      <c r="G24" s="35" t="n">
        <v>10</v>
      </c>
      <c r="H24" s="34" t="n">
        <f aca="false">ROUND(F24*(1+G24/100),1)</f>
        <v>33</v>
      </c>
      <c r="I24" s="36" t="n">
        <v>30</v>
      </c>
      <c r="J24" s="10" t="n">
        <f aca="false">ROUND(H24*I24,0)</f>
        <v>990</v>
      </c>
      <c r="K24" s="27"/>
    </row>
    <row r="25" customFormat="false" ht="23.25" hidden="false" customHeight="true" outlineLevel="0" collapsed="false">
      <c r="A25" s="9" t="n">
        <v>23</v>
      </c>
      <c r="B25" s="27" t="s">
        <v>193</v>
      </c>
      <c r="C25" s="27" t="s">
        <v>32</v>
      </c>
      <c r="D25" s="27" t="s">
        <v>194</v>
      </c>
      <c r="E25" s="9" t="s">
        <v>144</v>
      </c>
      <c r="F25" s="34" t="n">
        <v>50</v>
      </c>
      <c r="G25" s="35" t="n">
        <v>10</v>
      </c>
      <c r="H25" s="34" t="n">
        <f aca="false">ROUND(F25*(1+G25/100),1)</f>
        <v>55</v>
      </c>
      <c r="I25" s="36" t="n">
        <v>75</v>
      </c>
      <c r="J25" s="10" t="n">
        <f aca="false">ROUND(H25*I25,0)</f>
        <v>4125</v>
      </c>
      <c r="K25" s="27" t="s">
        <v>195</v>
      </c>
    </row>
    <row r="26" customFormat="false" ht="15" hidden="false" customHeight="true" outlineLevel="0" collapsed="false">
      <c r="A26" s="9" t="n">
        <v>24</v>
      </c>
      <c r="B26" s="27" t="s">
        <v>196</v>
      </c>
      <c r="C26" s="27" t="s">
        <v>32</v>
      </c>
      <c r="D26" s="27" t="s">
        <v>197</v>
      </c>
      <c r="E26" s="9" t="s">
        <v>144</v>
      </c>
      <c r="F26" s="34" t="n">
        <v>7</v>
      </c>
      <c r="G26" s="35" t="n">
        <v>5</v>
      </c>
      <c r="H26" s="34" t="n">
        <f aca="false">ROUND(F26*(1+G26/100),1)</f>
        <v>7.4</v>
      </c>
      <c r="I26" s="36" t="n">
        <v>110</v>
      </c>
      <c r="J26" s="10" t="n">
        <f aca="false">ROUND(H26*I26,0)</f>
        <v>814</v>
      </c>
      <c r="K26" s="27" t="s">
        <v>198</v>
      </c>
    </row>
    <row r="27" customFormat="false" ht="15" hidden="false" customHeight="true" outlineLevel="0" collapsed="false">
      <c r="A27" s="9" t="n">
        <v>25</v>
      </c>
      <c r="B27" s="27" t="s">
        <v>199</v>
      </c>
      <c r="C27" s="27" t="s">
        <v>32</v>
      </c>
      <c r="D27" s="27" t="s">
        <v>200</v>
      </c>
      <c r="E27" s="9" t="s">
        <v>144</v>
      </c>
      <c r="F27" s="34" t="n">
        <v>8</v>
      </c>
      <c r="G27" s="35" t="n">
        <v>10</v>
      </c>
      <c r="H27" s="34" t="n">
        <f aca="false">ROUND(F27*(1+G27/100),1)</f>
        <v>8.8</v>
      </c>
      <c r="I27" s="36" t="n">
        <v>75</v>
      </c>
      <c r="J27" s="10" t="n">
        <f aca="false">ROUND(H27*I27,0)</f>
        <v>660</v>
      </c>
      <c r="K27" s="27"/>
    </row>
    <row r="28" customFormat="false" ht="15" hidden="false" customHeight="true" outlineLevel="0" collapsed="false">
      <c r="A28" s="9" t="n">
        <v>26</v>
      </c>
      <c r="B28" s="27" t="s">
        <v>201</v>
      </c>
      <c r="C28" s="27" t="s">
        <v>32</v>
      </c>
      <c r="D28" s="27" t="s">
        <v>202</v>
      </c>
      <c r="E28" s="9" t="s">
        <v>144</v>
      </c>
      <c r="F28" s="34" t="n">
        <v>8</v>
      </c>
      <c r="G28" s="35" t="n">
        <v>10</v>
      </c>
      <c r="H28" s="34" t="n">
        <f aca="false">ROUND(F28*(1+G28/100),1)</f>
        <v>8.8</v>
      </c>
      <c r="I28" s="36" t="n">
        <v>85</v>
      </c>
      <c r="J28" s="10" t="n">
        <f aca="false">ROUND(H28*I28,0)</f>
        <v>748</v>
      </c>
      <c r="K28" s="27" t="s">
        <v>203</v>
      </c>
    </row>
    <row r="29" customFormat="false" ht="15" hidden="false" customHeight="true" outlineLevel="0" collapsed="false">
      <c r="A29" s="9" t="n">
        <v>27</v>
      </c>
      <c r="B29" s="27" t="s">
        <v>204</v>
      </c>
      <c r="C29" s="27" t="s">
        <v>32</v>
      </c>
      <c r="D29" s="27" t="s">
        <v>205</v>
      </c>
      <c r="E29" s="9" t="s">
        <v>144</v>
      </c>
      <c r="F29" s="34" t="n">
        <v>18</v>
      </c>
      <c r="G29" s="35" t="n">
        <v>10</v>
      </c>
      <c r="H29" s="34" t="n">
        <f aca="false">ROUND(F29*(1+G29/100),1)</f>
        <v>19.8</v>
      </c>
      <c r="I29" s="36" t="n">
        <v>70</v>
      </c>
      <c r="J29" s="10" t="n">
        <f aca="false">ROUND(H29*I29,0)</f>
        <v>1386</v>
      </c>
      <c r="K29" s="27" t="s">
        <v>206</v>
      </c>
    </row>
    <row r="30" customFormat="false" ht="15" hidden="false" customHeight="true" outlineLevel="0" collapsed="false">
      <c r="A30" s="9" t="n">
        <v>28</v>
      </c>
      <c r="B30" s="27" t="s">
        <v>207</v>
      </c>
      <c r="C30" s="27" t="s">
        <v>34</v>
      </c>
      <c r="D30" s="27" t="s">
        <v>208</v>
      </c>
      <c r="E30" s="9" t="s">
        <v>157</v>
      </c>
      <c r="F30" s="34" t="n">
        <v>24</v>
      </c>
      <c r="G30" s="35" t="n">
        <v>10</v>
      </c>
      <c r="H30" s="34" t="n">
        <f aca="false">ROUND(F30*(1+G30/100),1)</f>
        <v>26.4</v>
      </c>
      <c r="I30" s="36" t="n">
        <v>320</v>
      </c>
      <c r="J30" s="10" t="n">
        <f aca="false">ROUND(H30*I30,0)</f>
        <v>8448</v>
      </c>
      <c r="K30" s="27" t="s">
        <v>209</v>
      </c>
    </row>
    <row r="31" customFormat="false" ht="15" hidden="false" customHeight="true" outlineLevel="0" collapsed="false">
      <c r="A31" s="9" t="n">
        <v>29</v>
      </c>
      <c r="B31" s="27" t="s">
        <v>210</v>
      </c>
      <c r="C31" s="27" t="s">
        <v>34</v>
      </c>
      <c r="D31" s="27" t="s">
        <v>211</v>
      </c>
      <c r="E31" s="9" t="s">
        <v>144</v>
      </c>
      <c r="F31" s="34" t="n">
        <v>50</v>
      </c>
      <c r="G31" s="35" t="n">
        <v>10</v>
      </c>
      <c r="H31" s="34" t="n">
        <f aca="false">ROUND(F31*(1+G31/100),1)</f>
        <v>55</v>
      </c>
      <c r="I31" s="36" t="n">
        <v>22</v>
      </c>
      <c r="J31" s="10" t="n">
        <f aca="false">ROUND(H31*I31,0)</f>
        <v>1210</v>
      </c>
      <c r="K31" s="27" t="s">
        <v>212</v>
      </c>
    </row>
    <row r="32" customFormat="false" ht="15" hidden="false" customHeight="true" outlineLevel="0" collapsed="false">
      <c r="A32" s="9" t="n">
        <v>30</v>
      </c>
      <c r="B32" s="27" t="s">
        <v>213</v>
      </c>
      <c r="C32" s="27" t="s">
        <v>34</v>
      </c>
      <c r="D32" s="27" t="s">
        <v>214</v>
      </c>
      <c r="E32" s="9" t="s">
        <v>157</v>
      </c>
      <c r="F32" s="34" t="n">
        <v>25</v>
      </c>
      <c r="G32" s="35" t="n">
        <v>15</v>
      </c>
      <c r="H32" s="34" t="n">
        <f aca="false">ROUND(F32*(1+G32/100),1)</f>
        <v>28.8</v>
      </c>
      <c r="I32" s="36" t="n">
        <v>65</v>
      </c>
      <c r="J32" s="10" t="n">
        <f aca="false">ROUND(H32*I32,0)</f>
        <v>1872</v>
      </c>
      <c r="K32" s="27" t="s">
        <v>215</v>
      </c>
    </row>
    <row r="33" customFormat="false" ht="15" hidden="false" customHeight="true" outlineLevel="0" collapsed="false">
      <c r="A33" s="9" t="n">
        <v>31</v>
      </c>
      <c r="B33" s="27" t="s">
        <v>216</v>
      </c>
      <c r="C33" s="27" t="s">
        <v>34</v>
      </c>
      <c r="D33" s="27" t="s">
        <v>217</v>
      </c>
      <c r="E33" s="9" t="s">
        <v>157</v>
      </c>
      <c r="F33" s="34" t="n">
        <v>24</v>
      </c>
      <c r="G33" s="35" t="n">
        <v>10</v>
      </c>
      <c r="H33" s="34" t="n">
        <f aca="false">ROUND(F33*(1+G33/100),1)</f>
        <v>26.4</v>
      </c>
      <c r="I33" s="36" t="n">
        <v>85</v>
      </c>
      <c r="J33" s="10" t="n">
        <f aca="false">ROUND(H33*I33,0)</f>
        <v>2244</v>
      </c>
      <c r="K33" s="27" t="s">
        <v>218</v>
      </c>
    </row>
    <row r="34" customFormat="false" ht="15" hidden="false" customHeight="true" outlineLevel="0" collapsed="false">
      <c r="A34" s="9" t="n">
        <v>32</v>
      </c>
      <c r="B34" s="27" t="s">
        <v>219</v>
      </c>
      <c r="C34" s="27" t="s">
        <v>34</v>
      </c>
      <c r="D34" s="27" t="s">
        <v>220</v>
      </c>
      <c r="E34" s="9" t="s">
        <v>221</v>
      </c>
      <c r="F34" s="34" t="n">
        <v>9</v>
      </c>
      <c r="G34" s="35" t="n">
        <v>0</v>
      </c>
      <c r="H34" s="34" t="n">
        <f aca="false">ROUND(F34*(1+G34/100),1)</f>
        <v>9</v>
      </c>
      <c r="I34" s="36" t="n">
        <v>450</v>
      </c>
      <c r="J34" s="10" t="n">
        <f aca="false">ROUND(H34*I34,0)</f>
        <v>4050</v>
      </c>
      <c r="K34" s="27" t="s">
        <v>222</v>
      </c>
    </row>
    <row r="35" customFormat="false" ht="15" hidden="false" customHeight="true" outlineLevel="0" collapsed="false">
      <c r="A35" s="9" t="n">
        <v>33</v>
      </c>
      <c r="B35" s="27" t="s">
        <v>223</v>
      </c>
      <c r="C35" s="27" t="s">
        <v>34</v>
      </c>
      <c r="D35" s="27" t="s">
        <v>224</v>
      </c>
      <c r="E35" s="9" t="s">
        <v>132</v>
      </c>
      <c r="F35" s="34" t="n">
        <v>1</v>
      </c>
      <c r="G35" s="35" t="n">
        <v>0</v>
      </c>
      <c r="H35" s="34" t="n">
        <f aca="false">ROUND(F35*(1+G35/100),1)</f>
        <v>1</v>
      </c>
      <c r="I35" s="36" t="n">
        <v>180</v>
      </c>
      <c r="J35" s="10" t="n">
        <f aca="false">ROUND(H35*I35,0)</f>
        <v>180</v>
      </c>
      <c r="K35" s="27"/>
    </row>
    <row r="36" customFormat="false" ht="15" hidden="false" customHeight="true" outlineLevel="0" collapsed="false">
      <c r="A36" s="9" t="n">
        <v>34</v>
      </c>
      <c r="B36" s="27" t="s">
        <v>225</v>
      </c>
      <c r="C36" s="27" t="s">
        <v>34</v>
      </c>
      <c r="D36" s="27" t="s">
        <v>226</v>
      </c>
      <c r="E36" s="9" t="s">
        <v>144</v>
      </c>
      <c r="F36" s="34" t="n">
        <v>8</v>
      </c>
      <c r="G36" s="35" t="n">
        <v>10</v>
      </c>
      <c r="H36" s="34" t="n">
        <f aca="false">ROUND(F36*(1+G36/100),1)</f>
        <v>8.8</v>
      </c>
      <c r="I36" s="36" t="n">
        <v>70</v>
      </c>
      <c r="J36" s="10" t="n">
        <f aca="false">ROUND(H36*I36,0)</f>
        <v>616</v>
      </c>
      <c r="K36" s="27" t="s">
        <v>227</v>
      </c>
    </row>
    <row r="37" customFormat="false" ht="15" hidden="false" customHeight="true" outlineLevel="0" collapsed="false">
      <c r="A37" s="9" t="n">
        <v>35</v>
      </c>
      <c r="B37" s="27" t="s">
        <v>228</v>
      </c>
      <c r="C37" s="27" t="s">
        <v>34</v>
      </c>
      <c r="D37" s="27" t="s">
        <v>229</v>
      </c>
      <c r="E37" s="9" t="s">
        <v>144</v>
      </c>
      <c r="F37" s="34" t="n">
        <v>20</v>
      </c>
      <c r="G37" s="35" t="n">
        <v>10</v>
      </c>
      <c r="H37" s="34" t="n">
        <f aca="false">ROUND(F37*(1+G37/100),1)</f>
        <v>22</v>
      </c>
      <c r="I37" s="36" t="n">
        <v>35</v>
      </c>
      <c r="J37" s="10" t="n">
        <f aca="false">ROUND(H37*I37,0)</f>
        <v>770</v>
      </c>
      <c r="K37" s="27" t="s">
        <v>230</v>
      </c>
    </row>
    <row r="38" customFormat="false" ht="15" hidden="false" customHeight="true" outlineLevel="0" collapsed="false">
      <c r="A38" s="9" t="n">
        <v>36</v>
      </c>
      <c r="B38" s="27" t="s">
        <v>231</v>
      </c>
      <c r="C38" s="27" t="s">
        <v>36</v>
      </c>
      <c r="D38" s="27" t="s">
        <v>232</v>
      </c>
      <c r="E38" s="9" t="s">
        <v>157</v>
      </c>
      <c r="F38" s="34" t="n">
        <v>35</v>
      </c>
      <c r="G38" s="35" t="n">
        <v>15</v>
      </c>
      <c r="H38" s="34" t="n">
        <f aca="false">ROUND(F38*(1+G38/100),1)</f>
        <v>40.3</v>
      </c>
      <c r="I38" s="36" t="n">
        <v>95</v>
      </c>
      <c r="J38" s="10" t="n">
        <f aca="false">ROUND(H38*I38,0)</f>
        <v>3829</v>
      </c>
      <c r="K38" s="27" t="s">
        <v>233</v>
      </c>
    </row>
    <row r="39" customFormat="false" ht="15" hidden="false" customHeight="true" outlineLevel="0" collapsed="false">
      <c r="A39" s="9" t="n">
        <v>37</v>
      </c>
      <c r="B39" s="27" t="s">
        <v>234</v>
      </c>
      <c r="C39" s="27" t="s">
        <v>36</v>
      </c>
      <c r="D39" s="27" t="s">
        <v>235</v>
      </c>
      <c r="E39" s="9" t="s">
        <v>144</v>
      </c>
      <c r="F39" s="34" t="n">
        <v>60</v>
      </c>
      <c r="G39" s="35" t="n">
        <v>10</v>
      </c>
      <c r="H39" s="34" t="n">
        <f aca="false">ROUND(F39*(1+G39/100),1)</f>
        <v>66</v>
      </c>
      <c r="I39" s="36" t="n">
        <v>22</v>
      </c>
      <c r="J39" s="10" t="n">
        <f aca="false">ROUND(H39*I39,0)</f>
        <v>1452</v>
      </c>
      <c r="K39" s="27"/>
    </row>
    <row r="40" customFormat="false" ht="23.25" hidden="false" customHeight="true" outlineLevel="0" collapsed="false">
      <c r="A40" s="9" t="n">
        <v>38</v>
      </c>
      <c r="B40" s="27" t="s">
        <v>236</v>
      </c>
      <c r="C40" s="27" t="s">
        <v>36</v>
      </c>
      <c r="D40" s="27" t="s">
        <v>237</v>
      </c>
      <c r="E40" s="9" t="s">
        <v>144</v>
      </c>
      <c r="F40" s="34" t="n">
        <v>230</v>
      </c>
      <c r="G40" s="35" t="n">
        <v>10</v>
      </c>
      <c r="H40" s="34" t="n">
        <f aca="false">ROUND(F40*(1+G40/100),1)</f>
        <v>253</v>
      </c>
      <c r="I40" s="36" t="n">
        <v>55</v>
      </c>
      <c r="J40" s="10" t="n">
        <f aca="false">ROUND(H40*I40,0)</f>
        <v>13915</v>
      </c>
      <c r="K40" s="27" t="s">
        <v>238</v>
      </c>
    </row>
    <row r="41" customFormat="false" ht="23.25" hidden="false" customHeight="true" outlineLevel="0" collapsed="false">
      <c r="A41" s="9" t="n">
        <v>39</v>
      </c>
      <c r="B41" s="27" t="s">
        <v>239</v>
      </c>
      <c r="C41" s="27" t="s">
        <v>36</v>
      </c>
      <c r="D41" s="27" t="s">
        <v>240</v>
      </c>
      <c r="E41" s="9" t="s">
        <v>144</v>
      </c>
      <c r="F41" s="34" t="n">
        <v>230</v>
      </c>
      <c r="G41" s="35" t="n">
        <v>10</v>
      </c>
      <c r="H41" s="34" t="n">
        <f aca="false">ROUND(F41*(1+G41/100),1)</f>
        <v>253</v>
      </c>
      <c r="I41" s="36" t="n">
        <v>45</v>
      </c>
      <c r="J41" s="10" t="n">
        <f aca="false">ROUND(H41*I41,0)</f>
        <v>11385</v>
      </c>
      <c r="K41" s="27" t="s">
        <v>241</v>
      </c>
    </row>
    <row r="42" customFormat="false" ht="15" hidden="false" customHeight="true" outlineLevel="0" collapsed="false">
      <c r="A42" s="9" t="n">
        <v>40</v>
      </c>
      <c r="B42" s="27" t="s">
        <v>242</v>
      </c>
      <c r="C42" s="27" t="s">
        <v>36</v>
      </c>
      <c r="D42" s="27" t="s">
        <v>243</v>
      </c>
      <c r="E42" s="9" t="s">
        <v>144</v>
      </c>
      <c r="F42" s="34" t="n">
        <v>35</v>
      </c>
      <c r="G42" s="35" t="n">
        <v>10</v>
      </c>
      <c r="H42" s="34" t="n">
        <f aca="false">ROUND(F42*(1+G42/100),1)</f>
        <v>38.5</v>
      </c>
      <c r="I42" s="36" t="n">
        <v>65</v>
      </c>
      <c r="J42" s="10" t="n">
        <f aca="false">ROUND(H42*I42,0)</f>
        <v>2503</v>
      </c>
      <c r="K42" s="27"/>
    </row>
    <row r="43" customFormat="false" ht="15" hidden="false" customHeight="true" outlineLevel="0" collapsed="false">
      <c r="A43" s="9" t="n">
        <v>41</v>
      </c>
      <c r="B43" s="27" t="s">
        <v>244</v>
      </c>
      <c r="C43" s="27" t="s">
        <v>36</v>
      </c>
      <c r="D43" s="27" t="s">
        <v>245</v>
      </c>
      <c r="E43" s="9" t="s">
        <v>246</v>
      </c>
      <c r="F43" s="34" t="n">
        <v>20</v>
      </c>
      <c r="G43" s="35" t="n">
        <v>5</v>
      </c>
      <c r="H43" s="34" t="n">
        <f aca="false">ROUND(F43*(1+G43/100),1)</f>
        <v>21</v>
      </c>
      <c r="I43" s="36" t="n">
        <v>180</v>
      </c>
      <c r="J43" s="10" t="n">
        <f aca="false">ROUND(H43*I43,0)</f>
        <v>3780</v>
      </c>
      <c r="K43" s="27" t="s">
        <v>247</v>
      </c>
    </row>
    <row r="44" customFormat="false" ht="15" hidden="false" customHeight="true" outlineLevel="0" collapsed="false">
      <c r="A44" s="9" t="n">
        <v>42</v>
      </c>
      <c r="B44" s="27" t="s">
        <v>248</v>
      </c>
      <c r="C44" s="27" t="s">
        <v>38</v>
      </c>
      <c r="D44" s="27" t="s">
        <v>249</v>
      </c>
      <c r="E44" s="9" t="s">
        <v>157</v>
      </c>
      <c r="F44" s="34" t="n">
        <v>29</v>
      </c>
      <c r="G44" s="35" t="n">
        <v>10</v>
      </c>
      <c r="H44" s="34" t="n">
        <f aca="false">ROUND(F44*(1+G44/100),1)</f>
        <v>31.9</v>
      </c>
      <c r="I44" s="36" t="n">
        <v>140</v>
      </c>
      <c r="J44" s="10" t="n">
        <f aca="false">ROUND(H44*I44,0)</f>
        <v>4466</v>
      </c>
      <c r="K44" s="27" t="s">
        <v>250</v>
      </c>
    </row>
    <row r="45" customFormat="false" ht="15" hidden="false" customHeight="true" outlineLevel="0" collapsed="false">
      <c r="A45" s="9" t="n">
        <v>43</v>
      </c>
      <c r="B45" s="27" t="s">
        <v>251</v>
      </c>
      <c r="C45" s="27" t="s">
        <v>38</v>
      </c>
      <c r="D45" s="27" t="s">
        <v>252</v>
      </c>
      <c r="E45" s="9" t="s">
        <v>157</v>
      </c>
      <c r="F45" s="34" t="n">
        <v>12</v>
      </c>
      <c r="G45" s="35" t="n">
        <v>10</v>
      </c>
      <c r="H45" s="34" t="n">
        <f aca="false">ROUND(F45*(1+G45/100),1)</f>
        <v>13.2</v>
      </c>
      <c r="I45" s="36" t="n">
        <v>85</v>
      </c>
      <c r="J45" s="10" t="n">
        <f aca="false">ROUND(H45*I45,0)</f>
        <v>1122</v>
      </c>
      <c r="K45" s="27"/>
    </row>
    <row r="46" customFormat="false" ht="15" hidden="false" customHeight="true" outlineLevel="0" collapsed="false">
      <c r="A46" s="9" t="n">
        <v>44</v>
      </c>
      <c r="B46" s="27" t="s">
        <v>253</v>
      </c>
      <c r="C46" s="27" t="s">
        <v>38</v>
      </c>
      <c r="D46" s="27" t="s">
        <v>254</v>
      </c>
      <c r="E46" s="9" t="s">
        <v>157</v>
      </c>
      <c r="F46" s="34" t="n">
        <v>12</v>
      </c>
      <c r="G46" s="35" t="n">
        <v>10</v>
      </c>
      <c r="H46" s="34" t="n">
        <f aca="false">ROUND(F46*(1+G46/100),1)</f>
        <v>13.2</v>
      </c>
      <c r="I46" s="36" t="n">
        <v>195</v>
      </c>
      <c r="J46" s="10" t="n">
        <f aca="false">ROUND(H46*I46,0)</f>
        <v>2574</v>
      </c>
      <c r="K46" s="27" t="s">
        <v>255</v>
      </c>
    </row>
    <row r="47" customFormat="false" ht="15" hidden="false" customHeight="true" outlineLevel="0" collapsed="false">
      <c r="A47" s="9" t="n">
        <v>45</v>
      </c>
      <c r="B47" s="27" t="s">
        <v>256</v>
      </c>
      <c r="C47" s="27" t="s">
        <v>38</v>
      </c>
      <c r="D47" s="27" t="s">
        <v>257</v>
      </c>
      <c r="E47" s="9" t="s">
        <v>157</v>
      </c>
      <c r="F47" s="34" t="n">
        <v>11</v>
      </c>
      <c r="G47" s="35" t="n">
        <v>10</v>
      </c>
      <c r="H47" s="34" t="n">
        <f aca="false">ROUND(F47*(1+G47/100),1)</f>
        <v>12.1</v>
      </c>
      <c r="I47" s="36" t="n">
        <v>235</v>
      </c>
      <c r="J47" s="10" t="n">
        <f aca="false">ROUND(H47*I47,0)</f>
        <v>2844</v>
      </c>
      <c r="K47" s="27" t="s">
        <v>258</v>
      </c>
    </row>
    <row r="48" customFormat="false" ht="15" hidden="false" customHeight="true" outlineLevel="0" collapsed="false">
      <c r="A48" s="9" t="n">
        <v>46</v>
      </c>
      <c r="B48" s="27" t="s">
        <v>69</v>
      </c>
      <c r="C48" s="27" t="s">
        <v>40</v>
      </c>
      <c r="D48" s="27" t="s">
        <v>259</v>
      </c>
      <c r="E48" s="9" t="s">
        <v>157</v>
      </c>
      <c r="F48" s="34" t="n">
        <v>22</v>
      </c>
      <c r="G48" s="35" t="n">
        <v>20</v>
      </c>
      <c r="H48" s="34" t="n">
        <f aca="false">ROUND(F48*(1+G48/100),1)</f>
        <v>26.4</v>
      </c>
      <c r="I48" s="36" t="n">
        <v>95</v>
      </c>
      <c r="J48" s="10" t="n">
        <f aca="false">ROUND(H48*I48,0)</f>
        <v>2508</v>
      </c>
      <c r="K48" s="27" t="s">
        <v>260</v>
      </c>
    </row>
    <row r="49" customFormat="false" ht="15" hidden="false" customHeight="true" outlineLevel="0" collapsed="false">
      <c r="A49" s="9" t="n">
        <v>47</v>
      </c>
      <c r="B49" s="27" t="s">
        <v>261</v>
      </c>
      <c r="C49" s="27" t="s">
        <v>40</v>
      </c>
      <c r="D49" s="27" t="s">
        <v>262</v>
      </c>
      <c r="E49" s="9" t="s">
        <v>157</v>
      </c>
      <c r="F49" s="34" t="n">
        <v>27</v>
      </c>
      <c r="G49" s="35" t="n">
        <v>20</v>
      </c>
      <c r="H49" s="34" t="n">
        <f aca="false">ROUND(F49*(1+G49/100),1)</f>
        <v>32.4</v>
      </c>
      <c r="I49" s="36" t="n">
        <v>25</v>
      </c>
      <c r="J49" s="10" t="n">
        <f aca="false">ROUND(H49*I49,0)</f>
        <v>810</v>
      </c>
      <c r="K49" s="27" t="s">
        <v>263</v>
      </c>
    </row>
    <row r="50" customFormat="false" ht="15" hidden="false" customHeight="true" outlineLevel="0" collapsed="false">
      <c r="A50" s="9" t="n">
        <v>48</v>
      </c>
      <c r="B50" s="27" t="s">
        <v>264</v>
      </c>
      <c r="C50" s="27" t="s">
        <v>40</v>
      </c>
      <c r="D50" s="27" t="s">
        <v>265</v>
      </c>
      <c r="E50" s="9" t="s">
        <v>266</v>
      </c>
      <c r="F50" s="34" t="n">
        <v>3</v>
      </c>
      <c r="G50" s="35" t="n">
        <v>0</v>
      </c>
      <c r="H50" s="34" t="n">
        <f aca="false">ROUND(F50*(1+G50/100),1)</f>
        <v>3</v>
      </c>
      <c r="I50" s="36" t="n">
        <v>180</v>
      </c>
      <c r="J50" s="10" t="n">
        <f aca="false">ROUND(H50*I50,0)</f>
        <v>540</v>
      </c>
      <c r="K50" s="27"/>
    </row>
    <row r="51" customFormat="false" ht="15" hidden="false" customHeight="true" outlineLevel="0" collapsed="false">
      <c r="A51" s="9" t="n">
        <v>49</v>
      </c>
      <c r="B51" s="27" t="s">
        <v>267</v>
      </c>
      <c r="C51" s="27" t="s">
        <v>40</v>
      </c>
      <c r="D51" s="27" t="s">
        <v>268</v>
      </c>
      <c r="E51" s="9" t="s">
        <v>157</v>
      </c>
      <c r="F51" s="34" t="n">
        <v>22</v>
      </c>
      <c r="G51" s="35" t="n">
        <v>15</v>
      </c>
      <c r="H51" s="34" t="n">
        <f aca="false">ROUND(F51*(1+G51/100),1)</f>
        <v>25.3</v>
      </c>
      <c r="I51" s="36" t="n">
        <v>420</v>
      </c>
      <c r="J51" s="10" t="n">
        <f aca="false">ROUND(H51*I51,0)</f>
        <v>10626</v>
      </c>
      <c r="K51" s="27" t="s">
        <v>269</v>
      </c>
    </row>
    <row r="52" customFormat="false" ht="15" hidden="false" customHeight="true" outlineLevel="0" collapsed="false">
      <c r="A52" s="9" t="n">
        <v>50</v>
      </c>
      <c r="B52" s="27" t="s">
        <v>270</v>
      </c>
      <c r="C52" s="27" t="s">
        <v>40</v>
      </c>
      <c r="D52" s="27" t="s">
        <v>271</v>
      </c>
      <c r="E52" s="9" t="s">
        <v>157</v>
      </c>
      <c r="F52" s="34" t="n">
        <v>27</v>
      </c>
      <c r="G52" s="35" t="n">
        <v>15</v>
      </c>
      <c r="H52" s="34" t="n">
        <f aca="false">ROUND(F52*(1+G52/100),1)</f>
        <v>31.1</v>
      </c>
      <c r="I52" s="36" t="n">
        <v>220</v>
      </c>
      <c r="J52" s="10" t="n">
        <f aca="false">ROUND(H52*I52,0)</f>
        <v>6842</v>
      </c>
      <c r="K52" s="27" t="s">
        <v>272</v>
      </c>
    </row>
    <row r="53" customFormat="false" ht="15" hidden="false" customHeight="true" outlineLevel="0" collapsed="false">
      <c r="A53" s="28" t="n">
        <v>51</v>
      </c>
      <c r="B53" s="29" t="s">
        <v>273</v>
      </c>
      <c r="C53" s="29" t="s">
        <v>42</v>
      </c>
      <c r="D53" s="29" t="s">
        <v>274</v>
      </c>
      <c r="E53" s="28" t="s">
        <v>136</v>
      </c>
      <c r="F53" s="30" t="n">
        <v>1</v>
      </c>
      <c r="G53" s="31" t="n">
        <v>0</v>
      </c>
      <c r="H53" s="30" t="n">
        <f aca="false">ROUND(F53*(1+G53/100),1)</f>
        <v>1</v>
      </c>
      <c r="I53" s="32" t="n">
        <v>0</v>
      </c>
      <c r="J53" s="33" t="n">
        <f aca="false">ROUND(H53*I53,0)</f>
        <v>0</v>
      </c>
      <c r="K53" s="29" t="s">
        <v>275</v>
      </c>
    </row>
    <row r="54" customFormat="false" ht="15" hidden="false" customHeight="true" outlineLevel="0" collapsed="false">
      <c r="A54" s="28" t="n">
        <v>52</v>
      </c>
      <c r="B54" s="29" t="s">
        <v>273</v>
      </c>
      <c r="C54" s="29" t="s">
        <v>42</v>
      </c>
      <c r="D54" s="29" t="s">
        <v>276</v>
      </c>
      <c r="E54" s="28" t="s">
        <v>136</v>
      </c>
      <c r="F54" s="30" t="n">
        <v>1</v>
      </c>
      <c r="G54" s="31" t="n">
        <v>0</v>
      </c>
      <c r="H54" s="30" t="n">
        <f aca="false">ROUND(F54*(1+G54/100),1)</f>
        <v>1</v>
      </c>
      <c r="I54" s="32" t="n">
        <v>0</v>
      </c>
      <c r="J54" s="33" t="n">
        <f aca="false">ROUND(H54*I54,0)</f>
        <v>0</v>
      </c>
      <c r="K54" s="29" t="s">
        <v>277</v>
      </c>
    </row>
    <row r="55" customFormat="false" ht="15" hidden="false" customHeight="true" outlineLevel="0" collapsed="false">
      <c r="A55" s="28" t="n">
        <v>53</v>
      </c>
      <c r="B55" s="29" t="s">
        <v>278</v>
      </c>
      <c r="C55" s="29" t="s">
        <v>42</v>
      </c>
      <c r="D55" s="29" t="s">
        <v>279</v>
      </c>
      <c r="E55" s="28" t="s">
        <v>136</v>
      </c>
      <c r="F55" s="30" t="n">
        <v>1</v>
      </c>
      <c r="G55" s="31" t="n">
        <v>0</v>
      </c>
      <c r="H55" s="30" t="n">
        <f aca="false">ROUND(F55*(1+G55/100),1)</f>
        <v>1</v>
      </c>
      <c r="I55" s="32" t="n">
        <v>0</v>
      </c>
      <c r="J55" s="33" t="n">
        <f aca="false">ROUND(H55*I55,0)</f>
        <v>0</v>
      </c>
      <c r="K55" s="29" t="s">
        <v>280</v>
      </c>
    </row>
    <row r="56" customFormat="false" ht="15" hidden="false" customHeight="true" outlineLevel="0" collapsed="false">
      <c r="A56" s="28" t="n">
        <v>54</v>
      </c>
      <c r="B56" s="29" t="s">
        <v>281</v>
      </c>
      <c r="C56" s="29" t="s">
        <v>42</v>
      </c>
      <c r="D56" s="29" t="s">
        <v>282</v>
      </c>
      <c r="E56" s="28" t="s">
        <v>136</v>
      </c>
      <c r="F56" s="30" t="n">
        <v>1</v>
      </c>
      <c r="G56" s="31" t="n">
        <v>0</v>
      </c>
      <c r="H56" s="30" t="n">
        <f aca="false">ROUND(F56*(1+G56/100),1)</f>
        <v>1</v>
      </c>
      <c r="I56" s="32" t="n">
        <v>0</v>
      </c>
      <c r="J56" s="33" t="n">
        <f aca="false">ROUND(H56*I56,0)</f>
        <v>0</v>
      </c>
      <c r="K56" s="29" t="s">
        <v>283</v>
      </c>
    </row>
    <row r="57" customFormat="false" ht="15" hidden="false" customHeight="true" outlineLevel="0" collapsed="false">
      <c r="A57" s="9" t="n">
        <v>55</v>
      </c>
      <c r="B57" s="27" t="s">
        <v>284</v>
      </c>
      <c r="C57" s="27" t="s">
        <v>42</v>
      </c>
      <c r="D57" s="27" t="s">
        <v>285</v>
      </c>
      <c r="E57" s="9" t="s">
        <v>136</v>
      </c>
      <c r="F57" s="34" t="n">
        <v>3</v>
      </c>
      <c r="G57" s="35" t="n">
        <v>0</v>
      </c>
      <c r="H57" s="34" t="n">
        <f aca="false">ROUND(F57*(1+G57/100),1)</f>
        <v>3</v>
      </c>
      <c r="I57" s="36" t="n">
        <v>150</v>
      </c>
      <c r="J57" s="10" t="n">
        <f aca="false">ROUND(H57*I57,0)</f>
        <v>450</v>
      </c>
      <c r="K57" s="27"/>
    </row>
    <row r="58" customFormat="false" ht="15" hidden="false" customHeight="true" outlineLevel="0" collapsed="false">
      <c r="A58" s="9" t="n">
        <v>56</v>
      </c>
      <c r="B58" s="27" t="s">
        <v>286</v>
      </c>
      <c r="C58" s="27" t="s">
        <v>42</v>
      </c>
      <c r="D58" s="27" t="s">
        <v>287</v>
      </c>
      <c r="E58" s="9" t="s">
        <v>144</v>
      </c>
      <c r="F58" s="34" t="n">
        <v>40</v>
      </c>
      <c r="G58" s="35" t="n">
        <v>10</v>
      </c>
      <c r="H58" s="34" t="n">
        <f aca="false">ROUND(F58*(1+G58/100),1)</f>
        <v>44</v>
      </c>
      <c r="I58" s="36" t="n">
        <v>35</v>
      </c>
      <c r="J58" s="10" t="n">
        <f aca="false">ROUND(H58*I58,0)</f>
        <v>1540</v>
      </c>
      <c r="K58" s="27"/>
    </row>
    <row r="59" customFormat="false" ht="15" hidden="false" customHeight="true" outlineLevel="0" collapsed="false">
      <c r="A59" s="9" t="n">
        <v>57</v>
      </c>
      <c r="B59" s="27" t="s">
        <v>288</v>
      </c>
      <c r="C59" s="27" t="s">
        <v>44</v>
      </c>
      <c r="D59" s="27" t="s">
        <v>289</v>
      </c>
      <c r="E59" s="9" t="s">
        <v>136</v>
      </c>
      <c r="F59" s="34" t="n">
        <v>40</v>
      </c>
      <c r="G59" s="35" t="n">
        <v>0</v>
      </c>
      <c r="H59" s="34" t="n">
        <f aca="false">ROUND(F59*(1+G59/100),1)</f>
        <v>40</v>
      </c>
      <c r="I59" s="36" t="n">
        <v>18</v>
      </c>
      <c r="J59" s="10" t="n">
        <f aca="false">ROUND(H59*I59,0)</f>
        <v>720</v>
      </c>
      <c r="K59" s="27"/>
    </row>
    <row r="60" customFormat="false" ht="15" hidden="false" customHeight="true" outlineLevel="0" collapsed="false">
      <c r="A60" s="9" t="n">
        <v>58</v>
      </c>
      <c r="B60" s="27" t="s">
        <v>290</v>
      </c>
      <c r="C60" s="27" t="s">
        <v>44</v>
      </c>
      <c r="D60" s="27" t="s">
        <v>291</v>
      </c>
      <c r="E60" s="9" t="s">
        <v>136</v>
      </c>
      <c r="F60" s="34" t="n">
        <v>16</v>
      </c>
      <c r="G60" s="35" t="n">
        <v>0</v>
      </c>
      <c r="H60" s="34" t="n">
        <f aca="false">ROUND(F60*(1+G60/100),1)</f>
        <v>16</v>
      </c>
      <c r="I60" s="36" t="n">
        <v>65</v>
      </c>
      <c r="J60" s="10" t="n">
        <f aca="false">ROUND(H60*I60,0)</f>
        <v>1040</v>
      </c>
      <c r="K60" s="27"/>
    </row>
    <row r="61" customFormat="false" ht="15" hidden="false" customHeight="true" outlineLevel="0" collapsed="false">
      <c r="A61" s="9" t="n">
        <v>59</v>
      </c>
      <c r="B61" s="27" t="s">
        <v>292</v>
      </c>
      <c r="C61" s="27" t="s">
        <v>44</v>
      </c>
      <c r="D61" s="27" t="s">
        <v>293</v>
      </c>
      <c r="E61" s="9" t="s">
        <v>294</v>
      </c>
      <c r="F61" s="34" t="n">
        <v>2</v>
      </c>
      <c r="G61" s="35" t="n">
        <v>0</v>
      </c>
      <c r="H61" s="34" t="n">
        <f aca="false">ROUND(F61*(1+G61/100),1)</f>
        <v>2</v>
      </c>
      <c r="I61" s="36" t="n">
        <v>450</v>
      </c>
      <c r="J61" s="10" t="n">
        <f aca="false">ROUND(H61*I61,0)</f>
        <v>900</v>
      </c>
      <c r="K61" s="27" t="s">
        <v>295</v>
      </c>
    </row>
    <row r="62" customFormat="false" ht="15" hidden="false" customHeight="true" outlineLevel="0" collapsed="false">
      <c r="A62" s="9" t="n">
        <v>60</v>
      </c>
      <c r="B62" s="27" t="s">
        <v>296</v>
      </c>
      <c r="C62" s="27" t="s">
        <v>44</v>
      </c>
      <c r="D62" s="27" t="s">
        <v>297</v>
      </c>
      <c r="E62" s="9" t="s">
        <v>144</v>
      </c>
      <c r="F62" s="34" t="n">
        <v>20</v>
      </c>
      <c r="G62" s="35" t="n">
        <v>10</v>
      </c>
      <c r="H62" s="34" t="n">
        <f aca="false">ROUND(F62*(1+G62/100),1)</f>
        <v>22</v>
      </c>
      <c r="I62" s="36" t="n">
        <v>35</v>
      </c>
      <c r="J62" s="10" t="n">
        <f aca="false">ROUND(H62*I62,0)</f>
        <v>770</v>
      </c>
      <c r="K62" s="27"/>
    </row>
    <row r="63" customFormat="false" ht="15" hidden="false" customHeight="true" outlineLevel="0" collapsed="false">
      <c r="A63" s="9" t="n">
        <v>61</v>
      </c>
      <c r="B63" s="27" t="s">
        <v>298</v>
      </c>
      <c r="C63" s="27" t="s">
        <v>44</v>
      </c>
      <c r="D63" s="27" t="s">
        <v>299</v>
      </c>
      <c r="E63" s="9" t="s">
        <v>132</v>
      </c>
      <c r="F63" s="34" t="n">
        <v>15</v>
      </c>
      <c r="G63" s="35" t="n">
        <v>0</v>
      </c>
      <c r="H63" s="34" t="n">
        <f aca="false">ROUND(F63*(1+G63/100),1)</f>
        <v>15</v>
      </c>
      <c r="I63" s="36" t="n">
        <v>190</v>
      </c>
      <c r="J63" s="10" t="n">
        <f aca="false">ROUND(H63*I63,0)</f>
        <v>2850</v>
      </c>
      <c r="K63" s="27"/>
    </row>
    <row r="64" customFormat="false" ht="15" hidden="false" customHeight="true" outlineLevel="0" collapsed="false">
      <c r="A64" s="9" t="n">
        <v>62</v>
      </c>
      <c r="B64" s="27" t="s">
        <v>300</v>
      </c>
      <c r="C64" s="27" t="s">
        <v>44</v>
      </c>
      <c r="D64" s="27" t="s">
        <v>301</v>
      </c>
      <c r="E64" s="9" t="s">
        <v>132</v>
      </c>
      <c r="F64" s="34" t="n">
        <v>5</v>
      </c>
      <c r="G64" s="35" t="n">
        <v>0</v>
      </c>
      <c r="H64" s="34" t="n">
        <f aca="false">ROUND(F64*(1+G64/100),1)</f>
        <v>5</v>
      </c>
      <c r="I64" s="36" t="n">
        <v>65</v>
      </c>
      <c r="J64" s="10" t="n">
        <f aca="false">ROUND(H64*I64,0)</f>
        <v>325</v>
      </c>
      <c r="K64" s="27"/>
    </row>
    <row r="65" customFormat="false" ht="15" hidden="false" customHeight="true" outlineLevel="0" collapsed="false">
      <c r="A65" s="9" t="n">
        <v>63</v>
      </c>
      <c r="B65" s="27" t="s">
        <v>302</v>
      </c>
      <c r="C65" s="27" t="s">
        <v>44</v>
      </c>
      <c r="D65" s="27" t="s">
        <v>303</v>
      </c>
      <c r="E65" s="9" t="s">
        <v>132</v>
      </c>
      <c r="F65" s="34" t="n">
        <v>15</v>
      </c>
      <c r="G65" s="35" t="n">
        <v>0</v>
      </c>
      <c r="H65" s="34" t="n">
        <f aca="false">ROUND(F65*(1+G65/100),1)</f>
        <v>15</v>
      </c>
      <c r="I65" s="36" t="n">
        <v>250</v>
      </c>
      <c r="J65" s="10" t="n">
        <f aca="false">ROUND(H65*I65,0)</f>
        <v>3750</v>
      </c>
      <c r="K65" s="27"/>
    </row>
    <row r="66" customFormat="false" ht="15" hidden="false" customHeight="true" outlineLevel="0" collapsed="false">
      <c r="A66" s="9" t="n">
        <v>64</v>
      </c>
      <c r="B66" s="27" t="s">
        <v>304</v>
      </c>
      <c r="C66" s="27" t="s">
        <v>44</v>
      </c>
      <c r="D66" s="27" t="s">
        <v>305</v>
      </c>
      <c r="E66" s="9" t="s">
        <v>144</v>
      </c>
      <c r="F66" s="34" t="n">
        <v>5</v>
      </c>
      <c r="G66" s="35" t="n">
        <v>10</v>
      </c>
      <c r="H66" s="34" t="n">
        <f aca="false">ROUND(F66*(1+G66/100),1)</f>
        <v>5.5</v>
      </c>
      <c r="I66" s="36" t="n">
        <v>180</v>
      </c>
      <c r="J66" s="10" t="n">
        <f aca="false">ROUND(H66*I66,0)</f>
        <v>990</v>
      </c>
      <c r="K66" s="27" t="s">
        <v>306</v>
      </c>
    </row>
    <row r="67" customFormat="false" ht="15" hidden="false" customHeight="true" outlineLevel="0" collapsed="false">
      <c r="A67" s="9" t="n">
        <v>65</v>
      </c>
      <c r="B67" s="27" t="s">
        <v>307</v>
      </c>
      <c r="C67" s="27" t="s">
        <v>44</v>
      </c>
      <c r="D67" s="27" t="s">
        <v>308</v>
      </c>
      <c r="E67" s="9" t="s">
        <v>144</v>
      </c>
      <c r="F67" s="34" t="n">
        <v>3</v>
      </c>
      <c r="G67" s="35" t="n">
        <v>10</v>
      </c>
      <c r="H67" s="34" t="n">
        <f aca="false">ROUND(F67*(1+G67/100),1)</f>
        <v>3.3</v>
      </c>
      <c r="I67" s="36" t="n">
        <v>180</v>
      </c>
      <c r="J67" s="10" t="n">
        <f aca="false">ROUND(H67*I67,0)</f>
        <v>594</v>
      </c>
      <c r="K67" s="27"/>
    </row>
    <row r="68" customFormat="false" ht="15" hidden="false" customHeight="true" outlineLevel="0" collapsed="false">
      <c r="A68" s="9" t="n">
        <v>66</v>
      </c>
      <c r="B68" s="27" t="s">
        <v>309</v>
      </c>
      <c r="C68" s="27" t="s">
        <v>44</v>
      </c>
      <c r="D68" s="27" t="s">
        <v>310</v>
      </c>
      <c r="E68" s="9" t="s">
        <v>311</v>
      </c>
      <c r="F68" s="34" t="n">
        <v>8</v>
      </c>
      <c r="G68" s="35" t="n">
        <v>0</v>
      </c>
      <c r="H68" s="34" t="n">
        <f aca="false">ROUND(F68*(1+G68/100),1)</f>
        <v>8</v>
      </c>
      <c r="I68" s="36" t="n">
        <v>95</v>
      </c>
      <c r="J68" s="10" t="n">
        <f aca="false">ROUND(H68*I68,0)</f>
        <v>760</v>
      </c>
      <c r="K68" s="27"/>
    </row>
    <row r="69" customFormat="false" ht="15" hidden="false" customHeight="true" outlineLevel="0" collapsed="false">
      <c r="A69" s="9" t="n">
        <v>67</v>
      </c>
      <c r="B69" s="27" t="s">
        <v>312</v>
      </c>
      <c r="C69" s="27" t="s">
        <v>44</v>
      </c>
      <c r="D69" s="27" t="s">
        <v>313</v>
      </c>
      <c r="E69" s="9" t="s">
        <v>144</v>
      </c>
      <c r="F69" s="34" t="n">
        <v>8</v>
      </c>
      <c r="G69" s="35" t="n">
        <v>0</v>
      </c>
      <c r="H69" s="34" t="n">
        <f aca="false">ROUND(F69*(1+G69/100),1)</f>
        <v>8</v>
      </c>
      <c r="I69" s="36" t="n">
        <v>45</v>
      </c>
      <c r="J69" s="10" t="n">
        <f aca="false">ROUND(H69*I69,0)</f>
        <v>360</v>
      </c>
      <c r="K69" s="27"/>
    </row>
    <row r="70" customFormat="false" ht="15" hidden="false" customHeight="true" outlineLevel="0" collapsed="false">
      <c r="A70" s="9" t="n">
        <v>68</v>
      </c>
      <c r="B70" s="27" t="s">
        <v>75</v>
      </c>
      <c r="C70" s="27" t="s">
        <v>46</v>
      </c>
      <c r="D70" s="27" t="s">
        <v>314</v>
      </c>
      <c r="E70" s="9" t="s">
        <v>144</v>
      </c>
      <c r="F70" s="34" t="n">
        <v>20</v>
      </c>
      <c r="G70" s="35" t="n">
        <v>10</v>
      </c>
      <c r="H70" s="34" t="n">
        <f aca="false">ROUND(F70*(1+G70/100),1)</f>
        <v>22</v>
      </c>
      <c r="I70" s="36" t="n">
        <v>95</v>
      </c>
      <c r="J70" s="10" t="n">
        <f aca="false">ROUND(H70*I70,0)</f>
        <v>2090</v>
      </c>
      <c r="K70" s="27"/>
    </row>
    <row r="71" customFormat="false" ht="15" hidden="false" customHeight="true" outlineLevel="0" collapsed="false">
      <c r="A71" s="9" t="n">
        <v>69</v>
      </c>
      <c r="B71" s="27" t="s">
        <v>77</v>
      </c>
      <c r="C71" s="27" t="s">
        <v>46</v>
      </c>
      <c r="D71" s="27" t="s">
        <v>315</v>
      </c>
      <c r="E71" s="9" t="s">
        <v>144</v>
      </c>
      <c r="F71" s="34" t="n">
        <v>60</v>
      </c>
      <c r="G71" s="35" t="n">
        <v>10</v>
      </c>
      <c r="H71" s="34" t="n">
        <f aca="false">ROUND(F71*(1+G71/100),1)</f>
        <v>66</v>
      </c>
      <c r="I71" s="36" t="n">
        <v>85</v>
      </c>
      <c r="J71" s="10" t="n">
        <f aca="false">ROUND(H71*I71,0)</f>
        <v>5610</v>
      </c>
      <c r="K71" s="27" t="s">
        <v>316</v>
      </c>
    </row>
    <row r="72" customFormat="false" ht="15" hidden="false" customHeight="true" outlineLevel="0" collapsed="false">
      <c r="A72" s="9" t="n">
        <v>70</v>
      </c>
      <c r="B72" s="27" t="s">
        <v>317</v>
      </c>
      <c r="C72" s="27" t="s">
        <v>46</v>
      </c>
      <c r="D72" s="27" t="s">
        <v>318</v>
      </c>
      <c r="E72" s="9" t="s">
        <v>136</v>
      </c>
      <c r="F72" s="34" t="n">
        <v>1</v>
      </c>
      <c r="G72" s="35" t="n">
        <v>0</v>
      </c>
      <c r="H72" s="34" t="n">
        <f aca="false">ROUND(F72*(1+G72/100),1)</f>
        <v>1</v>
      </c>
      <c r="I72" s="36" t="n">
        <v>9000</v>
      </c>
      <c r="J72" s="10" t="n">
        <f aca="false">ROUND(H72*I72,0)</f>
        <v>9000</v>
      </c>
      <c r="K72" s="27" t="s">
        <v>319</v>
      </c>
    </row>
    <row r="73" customFormat="false" ht="15" hidden="false" customHeight="true" outlineLevel="0" collapsed="false">
      <c r="A73" s="9" t="n">
        <v>71</v>
      </c>
      <c r="B73" s="27" t="s">
        <v>320</v>
      </c>
      <c r="C73" s="27" t="s">
        <v>46</v>
      </c>
      <c r="D73" s="27" t="s">
        <v>321</v>
      </c>
      <c r="E73" s="9" t="s">
        <v>294</v>
      </c>
      <c r="F73" s="34" t="n">
        <v>1</v>
      </c>
      <c r="G73" s="35" t="n">
        <v>0</v>
      </c>
      <c r="H73" s="34" t="n">
        <f aca="false">ROUND(F73*(1+G73/100),1)</f>
        <v>1</v>
      </c>
      <c r="I73" s="36" t="n">
        <v>850</v>
      </c>
      <c r="J73" s="10" t="n">
        <f aca="false">ROUND(H73*I73,0)</f>
        <v>850</v>
      </c>
      <c r="K73" s="27"/>
    </row>
    <row r="74" customFormat="false" ht="15" hidden="false" customHeight="true" outlineLevel="0" collapsed="false">
      <c r="A74" s="9" t="n">
        <v>72</v>
      </c>
      <c r="B74" s="27" t="s">
        <v>322</v>
      </c>
      <c r="C74" s="27" t="s">
        <v>46</v>
      </c>
      <c r="D74" s="27" t="s">
        <v>86</v>
      </c>
      <c r="E74" s="9" t="s">
        <v>136</v>
      </c>
      <c r="F74" s="34" t="n">
        <v>1</v>
      </c>
      <c r="G74" s="35" t="n">
        <v>0</v>
      </c>
      <c r="H74" s="34" t="n">
        <f aca="false">ROUND(F74*(1+G74/100),1)</f>
        <v>1</v>
      </c>
      <c r="I74" s="36" t="n">
        <v>220</v>
      </c>
      <c r="J74" s="10" t="n">
        <f aca="false">ROUND(H74*I74,0)</f>
        <v>220</v>
      </c>
      <c r="K74" s="27"/>
    </row>
    <row r="75" customFormat="false" ht="15" hidden="false" customHeight="true" outlineLevel="0" collapsed="false">
      <c r="A75" s="9" t="n">
        <v>73</v>
      </c>
      <c r="B75" s="27" t="s">
        <v>323</v>
      </c>
      <c r="C75" s="27" t="s">
        <v>46</v>
      </c>
      <c r="D75" s="27" t="s">
        <v>324</v>
      </c>
      <c r="E75" s="9" t="s">
        <v>136</v>
      </c>
      <c r="F75" s="34" t="n">
        <v>1</v>
      </c>
      <c r="G75" s="35" t="n">
        <v>0</v>
      </c>
      <c r="H75" s="34" t="n">
        <f aca="false">ROUND(F75*(1+G75/100),1)</f>
        <v>1</v>
      </c>
      <c r="I75" s="36" t="n">
        <v>320</v>
      </c>
      <c r="J75" s="10" t="n">
        <f aca="false">ROUND(H75*I75,0)</f>
        <v>320</v>
      </c>
      <c r="K75" s="27"/>
    </row>
    <row r="76" customFormat="false" ht="15" hidden="false" customHeight="true" outlineLevel="0" collapsed="false">
      <c r="A76" s="9" t="n">
        <v>74</v>
      </c>
      <c r="B76" s="27" t="s">
        <v>325</v>
      </c>
      <c r="C76" s="27" t="s">
        <v>46</v>
      </c>
      <c r="D76" s="27" t="s">
        <v>326</v>
      </c>
      <c r="E76" s="9" t="s">
        <v>136</v>
      </c>
      <c r="F76" s="34" t="n">
        <v>1</v>
      </c>
      <c r="G76" s="35" t="n">
        <v>0</v>
      </c>
      <c r="H76" s="34" t="n">
        <f aca="false">ROUND(F76*(1+G76/100),1)</f>
        <v>1</v>
      </c>
      <c r="I76" s="36" t="n">
        <v>450</v>
      </c>
      <c r="J76" s="10" t="n">
        <f aca="false">ROUND(H76*I76,0)</f>
        <v>450</v>
      </c>
      <c r="K76" s="27"/>
    </row>
    <row r="77" customFormat="false" ht="15" hidden="false" customHeight="true" outlineLevel="0" collapsed="false">
      <c r="A77" s="9" t="n">
        <v>75</v>
      </c>
      <c r="B77" s="27" t="s">
        <v>90</v>
      </c>
      <c r="C77" s="27" t="s">
        <v>46</v>
      </c>
      <c r="D77" s="27" t="s">
        <v>327</v>
      </c>
      <c r="E77" s="9" t="s">
        <v>294</v>
      </c>
      <c r="F77" s="34" t="n">
        <v>1</v>
      </c>
      <c r="G77" s="35" t="n">
        <v>0</v>
      </c>
      <c r="H77" s="34" t="n">
        <f aca="false">ROUND(F77*(1+G77/100),1)</f>
        <v>1</v>
      </c>
      <c r="I77" s="36" t="n">
        <v>950</v>
      </c>
      <c r="J77" s="10" t="n">
        <f aca="false">ROUND(H77*I77,0)</f>
        <v>950</v>
      </c>
      <c r="K77" s="27"/>
    </row>
    <row r="78" customFormat="false" ht="15" hidden="false" customHeight="true" outlineLevel="0" collapsed="false">
      <c r="A78" s="9" t="n">
        <v>76</v>
      </c>
      <c r="B78" s="27" t="s">
        <v>328</v>
      </c>
      <c r="C78" s="27" t="s">
        <v>46</v>
      </c>
      <c r="D78" s="27" t="s">
        <v>329</v>
      </c>
      <c r="E78" s="9" t="s">
        <v>132</v>
      </c>
      <c r="F78" s="34" t="n">
        <v>25</v>
      </c>
      <c r="G78" s="35" t="n">
        <v>0</v>
      </c>
      <c r="H78" s="34" t="n">
        <f aca="false">ROUND(F78*(1+G78/100),1)</f>
        <v>25</v>
      </c>
      <c r="I78" s="36" t="n">
        <v>25</v>
      </c>
      <c r="J78" s="10" t="n">
        <f aca="false">ROUND(H78*I78,0)</f>
        <v>625</v>
      </c>
      <c r="K78" s="27"/>
    </row>
    <row r="79" customFormat="false" ht="15" hidden="false" customHeight="true" outlineLevel="0" collapsed="false">
      <c r="A79" s="9" t="n">
        <v>77</v>
      </c>
      <c r="B79" s="27" t="s">
        <v>95</v>
      </c>
      <c r="C79" s="27" t="s">
        <v>46</v>
      </c>
      <c r="D79" s="27" t="s">
        <v>96</v>
      </c>
      <c r="E79" s="9" t="s">
        <v>136</v>
      </c>
      <c r="F79" s="34" t="n">
        <v>1</v>
      </c>
      <c r="G79" s="35" t="n">
        <v>0</v>
      </c>
      <c r="H79" s="34" t="n">
        <f aca="false">ROUND(F79*(1+G79/100),1)</f>
        <v>1</v>
      </c>
      <c r="I79" s="36" t="n">
        <v>1200</v>
      </c>
      <c r="J79" s="10" t="n">
        <f aca="false">ROUND(H79*I79,0)</f>
        <v>1200</v>
      </c>
      <c r="K79" s="27"/>
    </row>
    <row r="80" customFormat="false" ht="15" hidden="false" customHeight="true" outlineLevel="0" collapsed="false">
      <c r="A80" s="21"/>
      <c r="B80" s="20" t="s">
        <v>330</v>
      </c>
      <c r="C80" s="21"/>
      <c r="D80" s="21"/>
      <c r="E80" s="21"/>
      <c r="F80" s="21"/>
      <c r="G80" s="21"/>
      <c r="H80" s="21"/>
      <c r="I80" s="21"/>
      <c r="J80" s="22" t="n">
        <f aca="false">SUM(J3:J79)</f>
        <v>154358</v>
      </c>
      <c r="K80" s="21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35"/>
  </cols>
  <sheetData>
    <row r="1" customFormat="false" ht="17.25" hidden="false" customHeight="true" outlineLevel="0" collapsed="false">
      <c r="A1" s="2" t="s">
        <v>331</v>
      </c>
      <c r="B1" s="2"/>
      <c r="C1" s="2"/>
      <c r="D1" s="2"/>
    </row>
    <row r="3" customFormat="false" ht="15" hidden="false" customHeight="true" outlineLevel="0" collapsed="false">
      <c r="A3" s="4" t="s">
        <v>332</v>
      </c>
      <c r="B3" s="4"/>
      <c r="C3" s="4"/>
      <c r="D3" s="4"/>
    </row>
    <row r="4" customFormat="false" ht="15" hidden="false" customHeight="true" outlineLevel="0" collapsed="false">
      <c r="A4" s="5" t="s">
        <v>333</v>
      </c>
      <c r="B4" s="5" t="s">
        <v>334</v>
      </c>
    </row>
    <row r="5" customFormat="false" ht="15" hidden="false" customHeight="true" outlineLevel="0" collapsed="false">
      <c r="A5" s="5" t="s">
        <v>335</v>
      </c>
      <c r="B5" s="5" t="s">
        <v>336</v>
      </c>
    </row>
    <row r="6" customFormat="false" ht="15" hidden="false" customHeight="true" outlineLevel="0" collapsed="false">
      <c r="A6" s="5" t="s">
        <v>337</v>
      </c>
      <c r="B6" s="5" t="s">
        <v>338</v>
      </c>
    </row>
    <row r="7" customFormat="false" ht="15" hidden="false" customHeight="true" outlineLevel="0" collapsed="false">
      <c r="A7" s="5" t="s">
        <v>339</v>
      </c>
      <c r="B7" s="5" t="s">
        <v>340</v>
      </c>
    </row>
    <row r="8" customFormat="false" ht="15" hidden="false" customHeight="true" outlineLevel="0" collapsed="false">
      <c r="A8" s="5" t="s">
        <v>341</v>
      </c>
      <c r="B8" s="5" t="s">
        <v>342</v>
      </c>
    </row>
    <row r="9" customFormat="false" ht="15" hidden="false" customHeight="true" outlineLevel="0" collapsed="false">
      <c r="A9" s="5" t="s">
        <v>343</v>
      </c>
      <c r="B9" s="5" t="s">
        <v>344</v>
      </c>
    </row>
    <row r="10" customFormat="false" ht="15" hidden="false" customHeight="true" outlineLevel="0" collapsed="false">
      <c r="A10" s="5" t="s">
        <v>345</v>
      </c>
      <c r="B10" s="5" t="s">
        <v>346</v>
      </c>
    </row>
    <row r="11" customFormat="false" ht="15" hidden="false" customHeight="true" outlineLevel="0" collapsed="false">
      <c r="A11" s="5" t="s">
        <v>347</v>
      </c>
      <c r="B11" s="5" t="s">
        <v>348</v>
      </c>
    </row>
    <row r="12" customFormat="false" ht="15" hidden="false" customHeight="true" outlineLevel="0" collapsed="false">
      <c r="A12" s="5" t="s">
        <v>349</v>
      </c>
      <c r="B12" s="5" t="s">
        <v>350</v>
      </c>
    </row>
    <row r="13" customFormat="false" ht="15" hidden="false" customHeight="true" outlineLevel="0" collapsed="false">
      <c r="A13" s="5"/>
      <c r="B13" s="5"/>
    </row>
    <row r="14" customFormat="false" ht="15" hidden="false" customHeight="true" outlineLevel="0" collapsed="false">
      <c r="A14" s="4" t="s">
        <v>351</v>
      </c>
      <c r="B14" s="4"/>
      <c r="C14" s="4"/>
      <c r="D14" s="4"/>
    </row>
    <row r="15" customFormat="false" ht="15" hidden="false" customHeight="true" outlineLevel="0" collapsed="false">
      <c r="A15" s="5" t="s">
        <v>352</v>
      </c>
      <c r="B15" s="5" t="s">
        <v>353</v>
      </c>
    </row>
    <row r="16" customFormat="false" ht="15" hidden="false" customHeight="true" outlineLevel="0" collapsed="false">
      <c r="A16" s="5" t="s">
        <v>339</v>
      </c>
      <c r="B16" s="5" t="s">
        <v>354</v>
      </c>
    </row>
    <row r="17" customFormat="false" ht="15" hidden="false" customHeight="true" outlineLevel="0" collapsed="false">
      <c r="A17" s="5" t="s">
        <v>355</v>
      </c>
      <c r="B17" s="5" t="s">
        <v>356</v>
      </c>
    </row>
    <row r="18" customFormat="false" ht="15" hidden="false" customHeight="true" outlineLevel="0" collapsed="false">
      <c r="A18" s="5" t="s">
        <v>357</v>
      </c>
      <c r="B18" s="5" t="s">
        <v>358</v>
      </c>
    </row>
    <row r="19" customFormat="false" ht="15" hidden="false" customHeight="true" outlineLevel="0" collapsed="false">
      <c r="A19" s="5" t="s">
        <v>359</v>
      </c>
      <c r="B19" s="5" t="s">
        <v>360</v>
      </c>
    </row>
    <row r="20" customFormat="false" ht="15" hidden="false" customHeight="true" outlineLevel="0" collapsed="false">
      <c r="A20" s="5" t="s">
        <v>361</v>
      </c>
      <c r="B20" s="5" t="s">
        <v>350</v>
      </c>
    </row>
    <row r="21" customFormat="false" ht="15" hidden="false" customHeight="true" outlineLevel="0" collapsed="false">
      <c r="A21" s="5"/>
      <c r="B21" s="5"/>
    </row>
    <row r="22" customFormat="false" ht="15" hidden="false" customHeight="true" outlineLevel="0" collapsed="false">
      <c r="A22" s="4" t="s">
        <v>362</v>
      </c>
      <c r="B22" s="4"/>
      <c r="C22" s="4"/>
      <c r="D22" s="4"/>
    </row>
    <row r="23" customFormat="false" ht="15" hidden="false" customHeight="true" outlineLevel="0" collapsed="false">
      <c r="A23" s="5" t="s">
        <v>363</v>
      </c>
      <c r="B23" s="5" t="s">
        <v>364</v>
      </c>
    </row>
    <row r="24" customFormat="false" ht="15" hidden="false" customHeight="true" outlineLevel="0" collapsed="false">
      <c r="A24" s="5" t="s">
        <v>365</v>
      </c>
      <c r="B24" s="5" t="s">
        <v>366</v>
      </c>
    </row>
    <row r="25" customFormat="false" ht="15" hidden="false" customHeight="true" outlineLevel="0" collapsed="false">
      <c r="A25" s="5" t="s">
        <v>367</v>
      </c>
      <c r="B25" s="5" t="s">
        <v>368</v>
      </c>
    </row>
    <row r="26" customFormat="false" ht="15" hidden="false" customHeight="true" outlineLevel="0" collapsed="false">
      <c r="A26" s="5" t="s">
        <v>369</v>
      </c>
      <c r="B26" s="5" t="s">
        <v>370</v>
      </c>
    </row>
    <row r="27" customFormat="false" ht="15" hidden="false" customHeight="true" outlineLevel="0" collapsed="false">
      <c r="A27" s="5" t="s">
        <v>371</v>
      </c>
      <c r="B27" s="5" t="s">
        <v>372</v>
      </c>
    </row>
    <row r="28" customFormat="false" ht="15" hidden="false" customHeight="true" outlineLevel="0" collapsed="false">
      <c r="A28" s="5" t="s">
        <v>373</v>
      </c>
      <c r="B28" s="5" t="s">
        <v>374</v>
      </c>
    </row>
    <row r="29" customFormat="false" ht="15" hidden="false" customHeight="true" outlineLevel="0" collapsed="false">
      <c r="A29" s="5" t="s">
        <v>375</v>
      </c>
      <c r="B29" s="5" t="s">
        <v>376</v>
      </c>
    </row>
    <row r="30" customFormat="false" ht="15" hidden="false" customHeight="true" outlineLevel="0" collapsed="false">
      <c r="A30" s="5" t="s">
        <v>377</v>
      </c>
      <c r="B30" s="5" t="s">
        <v>378</v>
      </c>
    </row>
    <row r="31" customFormat="false" ht="15" hidden="false" customHeight="true" outlineLevel="0" collapsed="false">
      <c r="A31" s="5"/>
      <c r="B31" s="5"/>
    </row>
    <row r="32" customFormat="false" ht="15" hidden="false" customHeight="true" outlineLevel="0" collapsed="false">
      <c r="A32" s="4" t="s">
        <v>379</v>
      </c>
      <c r="B32" s="4"/>
      <c r="C32" s="4"/>
      <c r="D32" s="4"/>
    </row>
    <row r="33" customFormat="false" ht="15" hidden="false" customHeight="true" outlineLevel="0" collapsed="false">
      <c r="A33" s="5" t="s">
        <v>380</v>
      </c>
      <c r="B33" s="5" t="s">
        <v>381</v>
      </c>
    </row>
    <row r="34" customFormat="false" ht="15" hidden="false" customHeight="true" outlineLevel="0" collapsed="false">
      <c r="A34" s="5" t="s">
        <v>382</v>
      </c>
      <c r="B34" s="5" t="s">
        <v>383</v>
      </c>
    </row>
    <row r="35" customFormat="false" ht="15" hidden="false" customHeight="true" outlineLevel="0" collapsed="false">
      <c r="A35" s="5" t="s">
        <v>384</v>
      </c>
      <c r="B35" s="5" t="s">
        <v>385</v>
      </c>
    </row>
    <row r="36" customFormat="false" ht="15" hidden="false" customHeight="true" outlineLevel="0" collapsed="false">
      <c r="A36" s="5" t="s">
        <v>386</v>
      </c>
      <c r="B36" s="5" t="s">
        <v>387</v>
      </c>
    </row>
    <row r="37" customFormat="false" ht="15" hidden="false" customHeight="true" outlineLevel="0" collapsed="false">
      <c r="A37" s="5" t="s">
        <v>388</v>
      </c>
      <c r="B37" s="5" t="s">
        <v>389</v>
      </c>
    </row>
    <row r="38" customFormat="false" ht="15" hidden="false" customHeight="true" outlineLevel="0" collapsed="false">
      <c r="A38" s="5" t="s">
        <v>390</v>
      </c>
      <c r="B38" s="5" t="s">
        <v>391</v>
      </c>
    </row>
    <row r="39" customFormat="false" ht="15" hidden="false" customHeight="true" outlineLevel="0" collapsed="false">
      <c r="A39" s="5" t="s">
        <v>392</v>
      </c>
      <c r="B39" s="5" t="s">
        <v>393</v>
      </c>
    </row>
  </sheetData>
  <mergeCells count="5">
    <mergeCell ref="A1:D1"/>
    <mergeCell ref="A3:D3"/>
    <mergeCell ref="A14:D14"/>
    <mergeCell ref="A22:D22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40"/>
    <col collapsed="false" customWidth="true" hidden="false" outlineLevel="0" max="4" min="4" style="1" width="14"/>
    <col collapsed="false" customWidth="true" hidden="false" outlineLevel="0" max="5" min="5" style="1" width="44"/>
    <col collapsed="false" customWidth="true" hidden="false" outlineLevel="0" max="6" min="6" style="1" width="14"/>
    <col collapsed="false" customWidth="true" hidden="false" outlineLevel="0" max="7" min="7" style="1" width="12"/>
  </cols>
  <sheetData>
    <row r="1" customFormat="false" ht="21.75" hidden="false" customHeight="true" outlineLevel="0" collapsed="false">
      <c r="A1" s="2" t="s">
        <v>394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16" t="s">
        <v>395</v>
      </c>
      <c r="B2" s="16"/>
      <c r="C2" s="16"/>
      <c r="D2" s="16"/>
      <c r="E2" s="16"/>
      <c r="F2" s="16"/>
      <c r="G2" s="16"/>
    </row>
    <row r="3" customFormat="false" ht="15" hidden="false" customHeight="true" outlineLevel="0" collapsed="false">
      <c r="A3" s="16" t="s">
        <v>396</v>
      </c>
      <c r="B3" s="16"/>
      <c r="C3" s="16"/>
      <c r="D3" s="16"/>
      <c r="E3" s="16"/>
      <c r="F3" s="16"/>
      <c r="G3" s="16"/>
    </row>
    <row r="4" customFormat="false" ht="15" hidden="false" customHeight="true" outlineLevel="0" collapsed="false">
      <c r="A4" s="16" t="s">
        <v>397</v>
      </c>
      <c r="B4" s="16"/>
      <c r="C4" s="16"/>
      <c r="D4" s="16"/>
      <c r="E4" s="16"/>
      <c r="F4" s="16"/>
      <c r="G4" s="16"/>
    </row>
    <row r="6" customFormat="false" ht="15" hidden="false" customHeight="true" outlineLevel="0" collapsed="false">
      <c r="A6" s="7" t="s">
        <v>398</v>
      </c>
      <c r="B6" s="7" t="s">
        <v>399</v>
      </c>
      <c r="C6" s="7" t="s">
        <v>400</v>
      </c>
      <c r="D6" s="7" t="s">
        <v>401</v>
      </c>
      <c r="E6" s="7" t="s">
        <v>402</v>
      </c>
      <c r="F6" s="7" t="s">
        <v>403</v>
      </c>
      <c r="G6" s="7" t="s">
        <v>404</v>
      </c>
    </row>
    <row r="7" customFormat="false" ht="15" hidden="false" customHeight="true" outlineLevel="0" collapsed="false">
      <c r="A7" s="27" t="s">
        <v>405</v>
      </c>
      <c r="B7" s="43" t="s">
        <v>406</v>
      </c>
      <c r="C7" s="27" t="s">
        <v>407</v>
      </c>
      <c r="D7" s="10" t="n">
        <v>19390</v>
      </c>
      <c r="E7" s="27" t="s">
        <v>408</v>
      </c>
      <c r="F7" s="10" t="n">
        <v>11800</v>
      </c>
      <c r="G7" s="44" t="n">
        <f aca="false">D7-F7</f>
        <v>7590</v>
      </c>
    </row>
    <row r="8" customFormat="false" ht="23.25" hidden="false" customHeight="true" outlineLevel="0" collapsed="false">
      <c r="A8" s="27" t="s">
        <v>409</v>
      </c>
      <c r="B8" s="43" t="s">
        <v>406</v>
      </c>
      <c r="C8" s="27" t="s">
        <v>410</v>
      </c>
      <c r="D8" s="10" t="n">
        <v>29080</v>
      </c>
      <c r="E8" s="27" t="s">
        <v>411</v>
      </c>
      <c r="F8" s="10" t="n">
        <v>14440</v>
      </c>
      <c r="G8" s="44" t="n">
        <f aca="false">D8-F8</f>
        <v>14640</v>
      </c>
    </row>
    <row r="9" customFormat="false" ht="23.25" hidden="false" customHeight="true" outlineLevel="0" collapsed="false">
      <c r="A9" s="27" t="s">
        <v>412</v>
      </c>
      <c r="B9" s="18" t="s">
        <v>413</v>
      </c>
      <c r="C9" s="27" t="s">
        <v>414</v>
      </c>
      <c r="D9" s="10" t="n">
        <v>10626</v>
      </c>
      <c r="E9" s="27" t="s">
        <v>415</v>
      </c>
      <c r="F9" s="10" t="n">
        <v>5566</v>
      </c>
      <c r="G9" s="44" t="n">
        <f aca="false">D9-F9</f>
        <v>5060</v>
      </c>
    </row>
    <row r="10" customFormat="false" ht="15" hidden="false" customHeight="true" outlineLevel="0" collapsed="false">
      <c r="A10" s="27" t="s">
        <v>416</v>
      </c>
      <c r="B10" s="18" t="s">
        <v>413</v>
      </c>
      <c r="C10" s="27" t="s">
        <v>417</v>
      </c>
      <c r="D10" s="10" t="n">
        <v>9000</v>
      </c>
      <c r="E10" s="27" t="s">
        <v>418</v>
      </c>
      <c r="F10" s="10" t="n">
        <v>6000</v>
      </c>
      <c r="G10" s="44" t="n">
        <f aca="false">D10-F10</f>
        <v>3000</v>
      </c>
    </row>
    <row r="11" customFormat="false" ht="15" hidden="false" customHeight="true" outlineLevel="0" collapsed="false">
      <c r="A11" s="27" t="s">
        <v>419</v>
      </c>
      <c r="B11" s="18" t="s">
        <v>413</v>
      </c>
      <c r="C11" s="27" t="s">
        <v>420</v>
      </c>
      <c r="D11" s="10" t="n">
        <v>2150</v>
      </c>
      <c r="E11" s="27" t="s">
        <v>421</v>
      </c>
      <c r="F11" s="10" t="n">
        <v>1100</v>
      </c>
      <c r="G11" s="44" t="n">
        <f aca="false">D11-F11</f>
        <v>1050</v>
      </c>
    </row>
    <row r="12" customFormat="false" ht="15" hidden="false" customHeight="true" outlineLevel="0" collapsed="false">
      <c r="A12" s="20" t="s">
        <v>422</v>
      </c>
      <c r="B12" s="21"/>
      <c r="C12" s="21"/>
      <c r="D12" s="22" t="n">
        <f aca="false">SUM(D7:D11)</f>
        <v>70246</v>
      </c>
      <c r="E12" s="21"/>
      <c r="F12" s="22" t="n">
        <f aca="false">SUM(F7:F11)</f>
        <v>38906</v>
      </c>
      <c r="G12" s="22" t="n">
        <f aca="false">SUM(G7:G11)</f>
        <v>31340</v>
      </c>
    </row>
    <row r="14" customFormat="false" ht="15" hidden="false" customHeight="true" outlineLevel="0" collapsed="false">
      <c r="A14" s="4" t="s">
        <v>423</v>
      </c>
      <c r="B14" s="4"/>
      <c r="C14" s="4"/>
      <c r="D14" s="4"/>
      <c r="E14" s="4"/>
      <c r="F14" s="4"/>
      <c r="G14" s="4"/>
    </row>
    <row r="15" customFormat="false" ht="30" hidden="false" customHeight="true" outlineLevel="0" collapsed="false">
      <c r="A15" s="7"/>
      <c r="B15" s="7" t="s">
        <v>424</v>
      </c>
      <c r="C15" s="7"/>
      <c r="D15" s="7" t="s">
        <v>425</v>
      </c>
      <c r="E15" s="7"/>
      <c r="F15" s="7" t="s">
        <v>426</v>
      </c>
      <c r="G15" s="7"/>
    </row>
    <row r="16" customFormat="false" ht="15" hidden="false" customHeight="true" outlineLevel="0" collapsed="false">
      <c r="A16" s="45" t="s">
        <v>427</v>
      </c>
      <c r="B16" s="46" t="n">
        <f aca="false">Materialliste!J80-Prosjektfaser!C21</f>
        <v>116909</v>
      </c>
      <c r="C16" s="46"/>
      <c r="D16" s="46" t="n">
        <f aca="false">Prosjektfaser!C21</f>
        <v>37449</v>
      </c>
      <c r="E16" s="46"/>
      <c r="F16" s="46" t="n">
        <f aca="false">Materialliste!J80</f>
        <v>154358</v>
      </c>
      <c r="G16" s="46"/>
    </row>
    <row r="17" customFormat="false" ht="15" hidden="false" customHeight="true" outlineLevel="0" collapsed="false">
      <c r="A17" s="20" t="s">
        <v>428</v>
      </c>
      <c r="B17" s="22" t="n">
        <f aca="false">B16-SUMIF(B7:B11,"Trinn 1",G7:G11)</f>
        <v>94679</v>
      </c>
      <c r="C17" s="22"/>
      <c r="D17" s="22" t="n">
        <f aca="false">D16-SUMIF(B7:B11,"Trinn 2",G7:G11)</f>
        <v>28339</v>
      </c>
      <c r="E17" s="22"/>
      <c r="F17" s="22" t="n">
        <f aca="false">B17+D17</f>
        <v>123018</v>
      </c>
      <c r="G17" s="22"/>
    </row>
    <row r="18" customFormat="false" ht="15" hidden="false" customHeight="true" outlineLevel="0" collapsed="false">
      <c r="A18" s="8" t="s">
        <v>429</v>
      </c>
      <c r="B18" s="10" t="n">
        <f aca="false">B16-B17</f>
        <v>22230</v>
      </c>
      <c r="C18" s="10"/>
      <c r="D18" s="10" t="n">
        <f aca="false">D16-D17</f>
        <v>9110</v>
      </c>
      <c r="E18" s="10"/>
      <c r="F18" s="10" t="n">
        <f aca="false">F16-F17</f>
        <v>31340</v>
      </c>
      <c r="G18" s="10"/>
    </row>
    <row r="19" customFormat="false" ht="15" hidden="false" customHeight="true" outlineLevel="0" collapsed="false">
      <c r="A19" s="8" t="s">
        <v>430</v>
      </c>
      <c r="B19" s="10" t="n">
        <f aca="false">B17*1.25</f>
        <v>118348.75</v>
      </c>
      <c r="C19" s="10"/>
      <c r="D19" s="10" t="n">
        <f aca="false">D17*1.25</f>
        <v>35423.75</v>
      </c>
      <c r="E19" s="10"/>
      <c r="F19" s="10" t="n">
        <f aca="false">F17*1.25</f>
        <v>153772.5</v>
      </c>
      <c r="G19" s="10"/>
    </row>
    <row r="21" customFormat="false" ht="15" hidden="false" customHeight="true" outlineLevel="0" collapsed="false">
      <c r="A21" s="15" t="s">
        <v>431</v>
      </c>
    </row>
    <row r="22" customFormat="false" ht="15" hidden="false" customHeight="true" outlineLevel="0" collapsed="false">
      <c r="A22" s="16" t="s">
        <v>432</v>
      </c>
      <c r="B22" s="16"/>
      <c r="C22" s="16"/>
      <c r="D22" s="16"/>
      <c r="E22" s="16"/>
      <c r="F22" s="16"/>
      <c r="G22" s="16"/>
    </row>
    <row r="23" customFormat="false" ht="15" hidden="false" customHeight="true" outlineLevel="0" collapsed="false">
      <c r="A23" s="16" t="s">
        <v>433</v>
      </c>
      <c r="B23" s="16"/>
      <c r="C23" s="16"/>
      <c r="D23" s="16"/>
      <c r="E23" s="16"/>
      <c r="F23" s="16"/>
      <c r="G23" s="16"/>
    </row>
    <row r="24" customFormat="false" ht="15" hidden="false" customHeight="true" outlineLevel="0" collapsed="false">
      <c r="A24" s="16" t="s">
        <v>434</v>
      </c>
      <c r="B24" s="16"/>
      <c r="C24" s="16"/>
      <c r="D24" s="16"/>
      <c r="E24" s="16"/>
      <c r="F24" s="16"/>
      <c r="G24" s="16"/>
    </row>
    <row r="25" customFormat="false" ht="15" hidden="false" customHeight="true" outlineLevel="0" collapsed="false">
      <c r="A25" s="16" t="s">
        <v>435</v>
      </c>
      <c r="B25" s="16"/>
      <c r="C25" s="16"/>
      <c r="D25" s="16"/>
      <c r="E25" s="16"/>
      <c r="F25" s="16"/>
      <c r="G25" s="16"/>
    </row>
    <row r="26" customFormat="false" ht="15" hidden="false" customHeight="true" outlineLevel="0" collapsed="false">
      <c r="A26" s="16" t="s">
        <v>436</v>
      </c>
      <c r="B26" s="16"/>
      <c r="C26" s="16"/>
      <c r="D26" s="16"/>
      <c r="E26" s="16"/>
      <c r="F26" s="16"/>
      <c r="G26" s="16"/>
    </row>
  </sheetData>
  <mergeCells count="25">
    <mergeCell ref="A1:G1"/>
    <mergeCell ref="A2:G2"/>
    <mergeCell ref="A3:G3"/>
    <mergeCell ref="A4:G4"/>
    <mergeCell ref="A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A22:G22"/>
    <mergeCell ref="A23:G23"/>
    <mergeCell ref="A24:G24"/>
    <mergeCell ref="A25:G25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2026-04-17T20:31:12Z</dcterms:created>
  <dc:creator>openpyxl</dc:creator>
  <dc:description/>
  <dc:language>en-US</dc:language>
  <cp:lastModifiedBy/>
  <dcterms:modified xsi:type="dcterms:W3CDTF">2026-05-23T11:21:38Z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